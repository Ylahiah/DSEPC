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mc:AlternateContent xmlns:mc="http://schemas.openxmlformats.org/markup-compatibility/2006">
    <mc:Choice Requires="x15">
      <x15ac:absPath xmlns:x15ac="http://schemas.microsoft.com/office/spreadsheetml/2010/11/ac" url="C:\Users\MSI\Desktop\Python\DSEPC\"/>
    </mc:Choice>
  </mc:AlternateContent>
  <xr:revisionPtr revIDLastSave="0" documentId="13_ncr:1_{12E415A0-C404-4604-8238-1637C36A0E9D}" xr6:coauthVersionLast="47" xr6:coauthVersionMax="47" xr10:uidLastSave="{00000000-0000-0000-0000-000000000000}"/>
  <bookViews>
    <workbookView xWindow="-108" yWindow="-108" windowWidth="23256" windowHeight="14016" activeTab="2" xr2:uid="{00000000-000D-0000-FFFF-FFFF00000000}"/>
  </bookViews>
  <sheets>
    <sheet name="Evaluación Práctica" sheetId="1" r:id="rId1"/>
    <sheet name="BaseDatos" sheetId="2" r:id="rId2"/>
    <sheet name="Criteri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3" i="1" l="1"/>
  <c r="F15" i="1"/>
  <c r="F14" i="1"/>
  <c r="F12" i="1"/>
  <c r="F11" i="1"/>
  <c r="F10" i="1"/>
</calcChain>
</file>

<file path=xl/sharedStrings.xml><?xml version="1.0" encoding="utf-8"?>
<sst xmlns="http://schemas.openxmlformats.org/spreadsheetml/2006/main" count="10037" uniqueCount="2198">
  <si>
    <t>EVALUACIÓN PRÁCTICA DE EXCEL - NIVEL BÁSICO</t>
  </si>
  <si>
    <t>Módulo de Evaluación de Habilidades de Gestión de Datos y Fórmulas</t>
  </si>
  <si>
    <t>Parámetro General</t>
  </si>
  <si>
    <t>Meta Objetivo de Piezas Surtidas</t>
  </si>
  <si>
    <t>Ejercicio</t>
  </si>
  <si>
    <t>Función / Operación</t>
  </si>
  <si>
    <t>Descripción de la Tarea</t>
  </si>
  <si>
    <t>Resultado Esperado / Fórmula</t>
  </si>
  <si>
    <t>SUMA</t>
  </si>
  <si>
    <t>Obtén el total general de piezas surtidas sumando la columna 'Cantidad Surtida' de la pestaña BaseDatos.</t>
  </si>
  <si>
    <t>SUMA de piezas surtidas</t>
  </si>
  <si>
    <t>PROMEDIO</t>
  </si>
  <si>
    <t>Calcula el promedio de piezas surtidas por registro basándote en la columna 'Cantidad Surtida'.</t>
  </si>
  <si>
    <t>Promedio de piezas</t>
  </si>
  <si>
    <t>% de Cumplimiento</t>
  </si>
  <si>
    <t>CONCATENAR</t>
  </si>
  <si>
    <t>Código Concatenado</t>
  </si>
  <si>
    <t>BUSCARV</t>
  </si>
  <si>
    <t>Descripción de Producto</t>
  </si>
  <si>
    <t>SUMAR.SI</t>
  </si>
  <si>
    <t>Obtén el total de piezas surtidas correspondientes exclusivamente al usuario 'JOSE MANUEL ESCOBAR RUIZ'.</t>
  </si>
  <si>
    <t>Total por usuario específico</t>
  </si>
  <si>
    <t>Notas e Instrucciones para el Evaluado:</t>
  </si>
  <si>
    <t>1. Escribe tus fórmulas en las celdas verdes (Columna F).</t>
  </si>
  <si>
    <t>2. Utiliza las funciones oficiales en español de Excel (SUMA, PROMEDIO, CONCATENAR/CONCAT, BUSCARV, SUMAR.SI).</t>
  </si>
  <si>
    <t>3. No modifiques la estructura de la pestaña BaseDatos.</t>
  </si>
  <si>
    <t>ID Orden</t>
  </si>
  <si>
    <t>Fecha de salida</t>
  </si>
  <si>
    <t>Usuario</t>
  </si>
  <si>
    <t>Estado</t>
  </si>
  <si>
    <t>ID Pedido</t>
  </si>
  <si>
    <t>CONCATENADO</t>
  </si>
  <si>
    <t>Orden Suministro</t>
  </si>
  <si>
    <t>Factura Original</t>
  </si>
  <si>
    <t>Licitación Original</t>
  </si>
  <si>
    <t>Proveedor</t>
  </si>
  <si>
    <t>Proveedor Original</t>
  </si>
  <si>
    <t>Jurisdicción</t>
  </si>
  <si>
    <t>Sucursal</t>
  </si>
  <si>
    <t>Clues</t>
  </si>
  <si>
    <t>ID Envío</t>
  </si>
  <si>
    <t>Fuente de Financiamiento</t>
  </si>
  <si>
    <t>Causes</t>
  </si>
  <si>
    <t>Producto</t>
  </si>
  <si>
    <t>Lote</t>
  </si>
  <si>
    <t>Caducidad</t>
  </si>
  <si>
    <t>Cantidad Surtida</t>
  </si>
  <si>
    <t>Precio Unitario</t>
  </si>
  <si>
    <t>ALMACEN</t>
  </si>
  <si>
    <t>MES</t>
  </si>
  <si>
    <t>CLAVES</t>
  </si>
  <si>
    <t>FOLIOS</t>
  </si>
  <si>
    <t>UNIDADES MEDICA</t>
  </si>
  <si>
    <t>ORD-268898</t>
  </si>
  <si>
    <t>JOSE MANUEL ESCOBAR RUIZ</t>
  </si>
  <si>
    <t>Tránsito</t>
  </si>
  <si>
    <t>REQ-7481</t>
  </si>
  <si>
    <t>060.456.03342310075IMSS BIENESTAR 2024</t>
  </si>
  <si>
    <t>IMB-07-02-2024-07025095-ASF</t>
  </si>
  <si>
    <t>3641796083</t>
  </si>
  <si>
    <t>LA-E113-2022-MATCUR-INSABI-033-2023/2024</t>
  </si>
  <si>
    <t>GRUPO INDUSTRIAL POSEIDON, S.A. DE C.V.</t>
  </si>
  <si>
    <t>GIP870706PK9</t>
  </si>
  <si>
    <t>JURISDICCIÓN I TUXTLA GUTIERREZ</t>
  </si>
  <si>
    <t>HOSPITAL DE ESPECIALIDADES PEDIÁTRICAS</t>
  </si>
  <si>
    <t>CSSSA008894</t>
  </si>
  <si>
    <t>SHP-268897</t>
  </si>
  <si>
    <t>IMSS BIENESTAR 2024</t>
  </si>
  <si>
    <t>060.456.0334</t>
  </si>
  <si>
    <t>2310075</t>
  </si>
  <si>
    <t>MC</t>
  </si>
  <si>
    <t>Septiembre</t>
  </si>
  <si>
    <t>ORD-271354</t>
  </si>
  <si>
    <t>LUIS ALBERTO PEREZ ZEBADUA</t>
  </si>
  <si>
    <t>REQ-11054</t>
  </si>
  <si>
    <t>010.000.3627.0073F4M0082U013 2025</t>
  </si>
  <si>
    <t>IMBB-07-02-2025-07061292-U013</t>
  </si>
  <si>
    <t>1667982458</t>
  </si>
  <si>
    <t>IB/0174/2025</t>
  </si>
  <si>
    <t>FRESENIUS KABI MEXICO, S.A. DE C.V.</t>
  </si>
  <si>
    <t>FKM4801155G8</t>
  </si>
  <si>
    <t>SHP-271353</t>
  </si>
  <si>
    <t>U013 2025</t>
  </si>
  <si>
    <t>010.000.3627.00</t>
  </si>
  <si>
    <t>73F4M0082</t>
  </si>
  <si>
    <t>Octubre</t>
  </si>
  <si>
    <t>ORD-271383</t>
  </si>
  <si>
    <t>JURISDICCIÓN VII TAPACHULA</t>
  </si>
  <si>
    <t>HOSPITAL REGIONAL DE ALTA ESPECIALIDAD CIUDAD SALUD</t>
  </si>
  <si>
    <t>CSSSA008882</t>
  </si>
  <si>
    <t>SHP-271382</t>
  </si>
  <si>
    <t>Guantes. Para cirugía. De látex natural estériles y desechables. Tallas: 7 1/2  Par.</t>
  </si>
  <si>
    <t>Cloruro de sodio. Solución Inyectable al 0.9%. Cada 100 ml contienen: Cloruro de sodio 0.9 g Agua Inyectable 100 ml Envase con 100 ml.</t>
  </si>
  <si>
    <t>ERAY  VELAZQUEZ SANTOS</t>
  </si>
  <si>
    <t>ORD-256146</t>
  </si>
  <si>
    <t>FABIAN RUBISEL CHACON SANCHEZ</t>
  </si>
  <si>
    <t>REQ-8213</t>
  </si>
  <si>
    <t>060.456.03002307077IMSS BIENESTAR 2024</t>
  </si>
  <si>
    <t>IMB-07-02-2024-07119815-ASF</t>
  </si>
  <si>
    <t>1532687112</t>
  </si>
  <si>
    <t>JURISDICCIÓN VI PALENQUE</t>
  </si>
  <si>
    <t>H.G. Palenque</t>
  </si>
  <si>
    <t>CSSSA004595</t>
  </si>
  <si>
    <t>SHP-256145</t>
  </si>
  <si>
    <t>060.456.0300</t>
  </si>
  <si>
    <t>Guantes. Para cirugía. De látex natural estériles y desechables. Tallas: 6 1/2  Par.</t>
  </si>
  <si>
    <t>2307077</t>
  </si>
  <si>
    <t>Julio</t>
  </si>
  <si>
    <t>ORD-243268</t>
  </si>
  <si>
    <t>REQ-10100</t>
  </si>
  <si>
    <t>060.681.006709043101IMSS BIENESTAR 2024 COMPRA ESTATAL</t>
  </si>
  <si>
    <t>PCDF-043-2024</t>
  </si>
  <si>
    <t>RDC.20</t>
  </si>
  <si>
    <t>ADJUDICACION DIRECTA</t>
  </si>
  <si>
    <t>FARMACOS DAROVI SA DE CV</t>
  </si>
  <si>
    <t>FDA130819J13</t>
  </si>
  <si>
    <t>H.G. Pascacio Gamboa</t>
  </si>
  <si>
    <t>CSSSA007540</t>
  </si>
  <si>
    <t>SHP-243267</t>
  </si>
  <si>
    <t>IMSS BIENESTAR 2024 COMPRA ESTATAL</t>
  </si>
  <si>
    <t>060.681.0067</t>
  </si>
  <si>
    <t>Pañales. Predoblados desechables. Para adultos. Pieza.</t>
  </si>
  <si>
    <t>09043101</t>
  </si>
  <si>
    <t>Abril</t>
  </si>
  <si>
    <t>REQ-11505</t>
  </si>
  <si>
    <t>010.000.3610.00P25A009U013 2025</t>
  </si>
  <si>
    <t>ZIMB-07-02-2025-07071487-U013</t>
  </si>
  <si>
    <t>1302241141</t>
  </si>
  <si>
    <t>IB/1151/2024</t>
  </si>
  <si>
    <t>IARE DE OCCIDENTE, S.A. DE C.V.</t>
  </si>
  <si>
    <t>IOC1906149F0</t>
  </si>
  <si>
    <t>010.000.3610.00</t>
  </si>
  <si>
    <t>Cloruro de sodio. Solución Inyectable al 0.9%. Cada 100 ml contienen: Cloruro de sodio 0.9 g Agua Inyectable 100 ml Envase con 1 000 ml. Contiene: Sodio 154 mEq. Cloruro 154 mEq.</t>
  </si>
  <si>
    <t>P25A009</t>
  </si>
  <si>
    <t>REQ-11687</t>
  </si>
  <si>
    <t>010.000.3610.00V25Y036U013 2025</t>
  </si>
  <si>
    <t>IMBB-07-02-2025-07091066-U013</t>
  </si>
  <si>
    <t>3128507778</t>
  </si>
  <si>
    <t>IB/1682/2025</t>
  </si>
  <si>
    <t>LABORATORIOS PISA, S.A DE C.V</t>
  </si>
  <si>
    <t>LPI-330527-KJ2</t>
  </si>
  <si>
    <t>V25Y036</t>
  </si>
  <si>
    <t>ORD-271414</t>
  </si>
  <si>
    <t>REQ-10997</t>
  </si>
  <si>
    <t>060.681.003400432502241U013 2025</t>
  </si>
  <si>
    <t>IMBB-07-02-2025-07035188-U013</t>
  </si>
  <si>
    <t>83329959</t>
  </si>
  <si>
    <t>IB/0101/2025</t>
  </si>
  <si>
    <t>BIOMICS LAB MEXICO, S.A. DE C.V.</t>
  </si>
  <si>
    <t>BLM200122KD7</t>
  </si>
  <si>
    <t>SHP-271413</t>
  </si>
  <si>
    <t>060.681.0034</t>
  </si>
  <si>
    <t>Pañales. De forma anatómica desechables para niños. Medidas: Chico. Pieza.</t>
  </si>
  <si>
    <t>00432502241</t>
  </si>
  <si>
    <t>REQ-11371</t>
  </si>
  <si>
    <t>060.532.0167094101U013 2025</t>
  </si>
  <si>
    <t>IMBB-07-02-2025-07070665-U013</t>
  </si>
  <si>
    <t>3134137246</t>
  </si>
  <si>
    <t>IB/956/2025</t>
  </si>
  <si>
    <t>060.532.0167</t>
  </si>
  <si>
    <t>Equipos. Para venoclisis. Sin aguja estériles desechables. Normogotero.</t>
  </si>
  <si>
    <t>094101</t>
  </si>
  <si>
    <t>ORD-253006</t>
  </si>
  <si>
    <t>REQ-4592</t>
  </si>
  <si>
    <t>060.550.2186220206COMPRA ESTATAL</t>
  </si>
  <si>
    <t>2DO TRIMESTRE</t>
  </si>
  <si>
    <t>O1-100007</t>
  </si>
  <si>
    <t>COMPRA ESTATAL</t>
  </si>
  <si>
    <t>DISTRIBUIDORA MEDICA ESPECIALIZADA DEL ISTMO, S.A. DE C.V.</t>
  </si>
  <si>
    <t>DME1905284R3</t>
  </si>
  <si>
    <t>JURISDICCIÓN IV VILLAFLORES</t>
  </si>
  <si>
    <t>H.G. Bicentenario Villaflores</t>
  </si>
  <si>
    <t>CSSSA018875</t>
  </si>
  <si>
    <t>SHP-253005</t>
  </si>
  <si>
    <t>060.550.2186</t>
  </si>
  <si>
    <t>Jeringas. Jeringa para insulina de plástico grado médico; graduada de 0 a 100 unidades con capacidad de 1 ml. Con aguja de acero inoxidable longitud 13 mm calibre 27 G. Estéril y desechable. Pieza.</t>
  </si>
  <si>
    <t>220206</t>
  </si>
  <si>
    <t>Junio</t>
  </si>
  <si>
    <t>ORD-225598</t>
  </si>
  <si>
    <t>YENI YADIRA MORENO ANTONIO</t>
  </si>
  <si>
    <t>REQ-9476</t>
  </si>
  <si>
    <t>060.621.0698240705COMPRA ESTATAL</t>
  </si>
  <si>
    <t>PCF-040-24</t>
  </si>
  <si>
    <t>N1-000026</t>
  </si>
  <si>
    <t>RFT MEDICAL</t>
  </si>
  <si>
    <t>RFT1905248Y5</t>
  </si>
  <si>
    <t>JURISDICCIÓN II SAN CRISTOBAL DE LAS CASAS</t>
  </si>
  <si>
    <t>H.B.C. Oxchuc</t>
  </si>
  <si>
    <t>CSSSA019476</t>
  </si>
  <si>
    <t>SHP-225598</t>
  </si>
  <si>
    <t>060.621.0698</t>
  </si>
  <si>
    <t>Cubrebocas quirúrgico. Cubrebocas quirúrgico elaborado con tres capas externas de tela no tejida, un filtro intermedio de polipropileno, plano o plisado, con ajuste nasal moldeable, resistente a fluidos, antiestáticos, hipoalergénico. Con bandas o ajuste elástico entorchado a la cabeza o retroauricular, desechable.</t>
  </si>
  <si>
    <t>240705</t>
  </si>
  <si>
    <t>Enero</t>
  </si>
  <si>
    <t>REQ-12298</t>
  </si>
  <si>
    <t>010.000.3608.00P25J310U013 2025</t>
  </si>
  <si>
    <t>IMBB-07-02-2025-07091040-U013</t>
  </si>
  <si>
    <t>2770840243</t>
  </si>
  <si>
    <t>010.000.3608.00</t>
  </si>
  <si>
    <t>Cloruro de sodio. Solución Inyectable al 0.9%. Cada 100 ml contienen: Cloruro de sodio 0.9 g Agua Inyectable 100 ml Envase con 250 ml. Contiene: Sodio 38.5 mEq. Cloruro 38.5 mEq.</t>
  </si>
  <si>
    <t>P25J310</t>
  </si>
  <si>
    <t>REQ-12311</t>
  </si>
  <si>
    <t>010.000.3608.00P25J305U013 2025</t>
  </si>
  <si>
    <t>IMBB-07-02-2025-07100005-U013</t>
  </si>
  <si>
    <t>155337957</t>
  </si>
  <si>
    <t>P25J305</t>
  </si>
  <si>
    <t>ORD-271363</t>
  </si>
  <si>
    <t>REQ-9967</t>
  </si>
  <si>
    <t>010.000.5720.00BHQ24044IMSS BIENESTAR 2024 COMPRA ESTATAL</t>
  </si>
  <si>
    <t>PCDF-037-24</t>
  </si>
  <si>
    <t>CVS-25-031</t>
  </si>
  <si>
    <t>ADJUDICACIÓN DIRECTA</t>
  </si>
  <si>
    <t>CVS PHARMA, S.A DE C.V.</t>
  </si>
  <si>
    <t>CPH220202K98</t>
  </si>
  <si>
    <t>H.G. Gomez Maza</t>
  </si>
  <si>
    <t>CSSSA019954</t>
  </si>
  <si>
    <t>SHP-271362</t>
  </si>
  <si>
    <t>010.000.5720.00</t>
  </si>
  <si>
    <t>Paracetamol solución inyectable cada frasco contiene: paracetamol 500 mg. Envase con un frasco con 50 ml.</t>
  </si>
  <si>
    <t>BHQ24044</t>
  </si>
  <si>
    <t>ORD-268900</t>
  </si>
  <si>
    <t>REQ-10095</t>
  </si>
  <si>
    <t>010.000.3675.00007HN365COMPRA ESTATAL</t>
  </si>
  <si>
    <t>PCE-036-24</t>
  </si>
  <si>
    <t>00002</t>
  </si>
  <si>
    <t>XIMENA VELASCO CAUZOR</t>
  </si>
  <si>
    <t>VECX011227HP8</t>
  </si>
  <si>
    <t>SHP-268899</t>
  </si>
  <si>
    <t>010.000.3675.00</t>
  </si>
  <si>
    <t>Agua Inyectable. Solución Inyectable Cada envase contiene: Agua Inyectable 500 ml Envase con 500 ml.</t>
  </si>
  <si>
    <t>007HN365</t>
  </si>
  <si>
    <t>REQ-11959</t>
  </si>
  <si>
    <t>010.000.3609.00P25Y745U013 2025</t>
  </si>
  <si>
    <t>IMBB-07-02-2025-07091053-U013</t>
  </si>
  <si>
    <t>4086465779</t>
  </si>
  <si>
    <t>010.000.3609.00</t>
  </si>
  <si>
    <t>Cloruro de sodio. Solución Inyectable al 0.9%. Cada 100 ml contienen: Cloruro de sodio 0.9 g Agua Inyectable 100 ml Envase con 500 ml. Contiene: Sodio 77 mEq. Cloruro 77 mEq.</t>
  </si>
  <si>
    <t>P25Y745</t>
  </si>
  <si>
    <t>ORD-271403</t>
  </si>
  <si>
    <t>H.G. De las Culturas</t>
  </si>
  <si>
    <t>CSSSA018764</t>
  </si>
  <si>
    <t>SHP-271402</t>
  </si>
  <si>
    <t>ORD-243315</t>
  </si>
  <si>
    <t>REQ-9693</t>
  </si>
  <si>
    <t>010.000.3610.00P24T023IMSS BIENESTAR 2024</t>
  </si>
  <si>
    <t>IMB-07-02-2024-0701081656-ASF</t>
  </si>
  <si>
    <t>3829007802</t>
  </si>
  <si>
    <t>LA-E115-2022-MED-INSABI-048-2023/2024</t>
  </si>
  <si>
    <t>SHP-243314</t>
  </si>
  <si>
    <t>P24T023</t>
  </si>
  <si>
    <t>REQ-11071</t>
  </si>
  <si>
    <t>010.000.3615.00Y25M504U013 2025</t>
  </si>
  <si>
    <t>IMB-07-02-2025-07054032-U013</t>
  </si>
  <si>
    <t>1798367809</t>
  </si>
  <si>
    <t>IB/0250/2025</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</si>
  <si>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</si>
  <si>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</si>
  <si>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Y25M504</t>
  </si>
  <si>
    <t>ORD-225627</t>
  </si>
  <si>
    <t>REQ-4808</t>
  </si>
  <si>
    <t>060.621.0524CB220322COMPRA ESTATAL</t>
  </si>
  <si>
    <t>ALMACEN ESTATAL</t>
  </si>
  <si>
    <t>ED-20624007</t>
  </si>
  <si>
    <t>SECRETARIA DE SALUD  CHIAPAS</t>
  </si>
  <si>
    <t>SSA630502CU1</t>
  </si>
  <si>
    <t>C.S.R. 01 Microregional Tzuluwitz</t>
  </si>
  <si>
    <t>CSSSA019271</t>
  </si>
  <si>
    <t>SHP-225627</t>
  </si>
  <si>
    <t>060.621.0524</t>
  </si>
  <si>
    <t>Cubrebocas. De dos capas de tela no tejida resistente a fluidos antiestático hipoalergénico con bandas o ajuste elástico a la cabeza. Desechable. Pieza.</t>
  </si>
  <si>
    <t>CB220322</t>
  </si>
  <si>
    <t>ORD-256166</t>
  </si>
  <si>
    <t>ADELIA LIZBETH DE LA CRUZ SARMIENTO</t>
  </si>
  <si>
    <t>REQ-10367</t>
  </si>
  <si>
    <t>060.439.0054RE2024070000063U013 2025</t>
  </si>
  <si>
    <t>BIMB-07-01-2025-07033125-U013</t>
  </si>
  <si>
    <t>2417849840</t>
  </si>
  <si>
    <t>IB/124/2024/D</t>
  </si>
  <si>
    <t>INTERCAMBIO GLOBAL LATINOAMERICA, S.A. DE C.V.</t>
  </si>
  <si>
    <t>IGL050721185</t>
  </si>
  <si>
    <t>SHP-256165</t>
  </si>
  <si>
    <t>060.439.0054</t>
  </si>
  <si>
    <t>Gorros. Gorro redondo con elástico ajustable al contorno de la cara de tela no tejida de polipropileno desechable. Impermeable a la penetración de líquidos y fluidos; antiestática y resistente a la tensión. Tamaño: Chico. Desechable. Pieza.</t>
  </si>
  <si>
    <t>RE2024070000063</t>
  </si>
  <si>
    <t>REQ-7487</t>
  </si>
  <si>
    <t>060.456.03182307073IMSS BIENESTAR 2024</t>
  </si>
  <si>
    <t>IMB-07-02-2024-07025029-ASF</t>
  </si>
  <si>
    <t>1775651089</t>
  </si>
  <si>
    <t>060.456.0318</t>
  </si>
  <si>
    <t>Guantes. Para cirugía. De látex natural estériles y desechables. Tallas: 7  Par.</t>
  </si>
  <si>
    <t>2307073</t>
  </si>
  <si>
    <t>ORD-243280</t>
  </si>
  <si>
    <t>SHP-243279</t>
  </si>
  <si>
    <t>REQ-11503</t>
  </si>
  <si>
    <t>010.000.5187.00T25A172U013 2025</t>
  </si>
  <si>
    <t>ZIMB-07-02-2025-07071864-U013</t>
  </si>
  <si>
    <t>1709928801</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</si>
  <si>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</si>
  <si>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</si>
  <si>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T25A172</t>
  </si>
  <si>
    <t>REQ-9132</t>
  </si>
  <si>
    <t>010.000.3612.00P24U947IMSS BIENESTAR 2024</t>
  </si>
  <si>
    <t>IMB-07-02-2024-07126705-ASF</t>
  </si>
  <si>
    <t>2868869228</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</si>
  <si>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</si>
  <si>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</si>
  <si>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P24U947</t>
  </si>
  <si>
    <t>ORD-256162</t>
  </si>
  <si>
    <t>REQ-10479</t>
  </si>
  <si>
    <t>060.439.0054RE2024070000063IMSS BIENESTAR 2024</t>
  </si>
  <si>
    <t>BIMB-07-01-2024-0701081617-ASF</t>
  </si>
  <si>
    <t>196217569</t>
  </si>
  <si>
    <t>SHP-256161</t>
  </si>
  <si>
    <t>REQ-11493</t>
  </si>
  <si>
    <t>010.000.3616.00P25A004U013 2025</t>
  </si>
  <si>
    <t>ZIMB-07-02-2025-07071525-U013</t>
  </si>
  <si>
    <t>1436041198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</si>
  <si>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</si>
  <si>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</si>
  <si>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P25A004</t>
  </si>
  <si>
    <t>ORD-256243</t>
  </si>
  <si>
    <t>LUIS ALONSO VENTURA UTRILLA</t>
  </si>
  <si>
    <t>REQ-9422</t>
  </si>
  <si>
    <t>060.621.0656202405-04COMPRA ESTATAL</t>
  </si>
  <si>
    <t>PCF-042-24</t>
  </si>
  <si>
    <t>P1-000147</t>
  </si>
  <si>
    <t>INSUMOS HOSPITALARIOS ALPHA, S.A. DE C.V.</t>
  </si>
  <si>
    <t>IHA1807204Z6</t>
  </si>
  <si>
    <t>H.B.C. Acala</t>
  </si>
  <si>
    <t>CSSSA000045</t>
  </si>
  <si>
    <t>SHP-256242</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</si>
  <si>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</si>
  <si>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</si>
  <si>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202405-04</t>
  </si>
  <si>
    <t>060.532.00844210823NCOMPRA ESTATAL</t>
  </si>
  <si>
    <t>P1-000195</t>
  </si>
  <si>
    <t>060.532.0084</t>
  </si>
  <si>
    <t>Equipos. Para venoclisis. Sin aguja estériles desechables. Microgotero. Equipo</t>
  </si>
  <si>
    <t>4210823N</t>
  </si>
  <si>
    <t>ORD-253012</t>
  </si>
  <si>
    <t>REQ-9971</t>
  </si>
  <si>
    <t>060.532.016720240625IMSS BIENESTAR 2024 COMPRA ESTATAL</t>
  </si>
  <si>
    <t>PCDF-042-2024</t>
  </si>
  <si>
    <t>CVS-25-002</t>
  </si>
  <si>
    <t>SHP-253011</t>
  </si>
  <si>
    <t>20240625</t>
  </si>
  <si>
    <t>ORD-253065</t>
  </si>
  <si>
    <t>REQ-10174</t>
  </si>
  <si>
    <t>010.000.1973.00R24N05IMSS BIENESTAR 2024 COMPRA ESTATAL</t>
  </si>
  <si>
    <t>PCDF-035-2024</t>
  </si>
  <si>
    <t>RDC.9</t>
  </si>
  <si>
    <t>SHP-253064</t>
  </si>
  <si>
    <t>010.000.1973.00</t>
  </si>
  <si>
    <t>Clindamicina. Solución Inyectable Cada ampolleta contiene: Fosfato de clindamicina equivalente a 300 mg de clindamicina. Envase ampolleta con 2 ml.</t>
  </si>
  <si>
    <t>R24N05</t>
  </si>
  <si>
    <t>ORD-256223</t>
  </si>
  <si>
    <t>REQ-10723</t>
  </si>
  <si>
    <t>010.000.5187.00T24T524U013 2025</t>
  </si>
  <si>
    <t>IMB-07-02-2025-07054063-U013</t>
  </si>
  <si>
    <t>292901896</t>
  </si>
  <si>
    <t>SHP-256222</t>
  </si>
  <si>
    <t>T24T524</t>
  </si>
  <si>
    <t>REQ-8641</t>
  </si>
  <si>
    <t>010.000.3613.00P24A073IMSS BIENESTAR 2024</t>
  </si>
  <si>
    <t>IMB-07-02-2024-07126767-ASF</t>
  </si>
  <si>
    <t>1429294020</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</si>
  <si>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</si>
  <si>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</si>
  <si>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P24A073</t>
  </si>
  <si>
    <t>010.000.3615.00Y25M502U013 2025</t>
  </si>
  <si>
    <t>Y25M502</t>
  </si>
  <si>
    <t>ORD-243306</t>
  </si>
  <si>
    <t>060.456.03182307074IMSS BIENESTAR 2024</t>
  </si>
  <si>
    <t>SHP-243305</t>
  </si>
  <si>
    <t>2307074</t>
  </si>
  <si>
    <t>060.621.0656202405-03COMPRA ESTATAL</t>
  </si>
  <si>
    <t>202405-03</t>
  </si>
  <si>
    <t>REQ-9762</t>
  </si>
  <si>
    <t>060.130.001508112402IMSS BIENESTAR 2024</t>
  </si>
  <si>
    <t>IMB-07-02-2024-0701081693-ASF</t>
  </si>
  <si>
    <t>2233795880</t>
  </si>
  <si>
    <t>LA-E113-2022-MATCUR-INSABI-019-2023/2024</t>
  </si>
  <si>
    <t>CONSUMIBLES PARA LA SALUD, S.A.  DE C.V.</t>
  </si>
  <si>
    <t>CSA1001216P1</t>
  </si>
  <si>
    <t>060.130.0015</t>
  </si>
  <si>
    <t>Botas. Bota quirúrgica de tela no tejida 100% de polipropileno tipo SMS de 35 g/m2 mínimo impermeable a la penetración de líquidos y fluidos antiestática con dos cintas de sujeción. Desechable. Par.</t>
  </si>
  <si>
    <t>08112402</t>
  </si>
  <si>
    <t>REQ-11282</t>
  </si>
  <si>
    <t>060.681.0042240828U013 2025</t>
  </si>
  <si>
    <t>ZIMB-07-02-2025-07073534-U013</t>
  </si>
  <si>
    <t>1239781882</t>
  </si>
  <si>
    <t>IB/1168/2024</t>
  </si>
  <si>
    <t>ABASTECEDORA DE INSUMOS PARA LA SALUD, S.A. DE C.V.</t>
  </si>
  <si>
    <t>AIS091015H50</t>
  </si>
  <si>
    <t>060.681.0042</t>
  </si>
  <si>
    <t>Pañales. De forma anatómica desechables para niños. Medidas: Mediano. Pieza.</t>
  </si>
  <si>
    <t>240828</t>
  </si>
  <si>
    <t>ORD-271347</t>
  </si>
  <si>
    <t>ABRAHAM TOLEDO DIAZ</t>
  </si>
  <si>
    <t>SHP-271346</t>
  </si>
  <si>
    <t>ORD-243313</t>
  </si>
  <si>
    <t>REQ-7090</t>
  </si>
  <si>
    <t>060.168.66782250R13QXINSABI 2023</t>
  </si>
  <si>
    <t>U00-07-01-2023-075069-ASF</t>
  </si>
  <si>
    <t>2612916747</t>
  </si>
  <si>
    <t>LA-I-1-MATCUR-INSABI-106-2023/2024</t>
  </si>
  <si>
    <t>CARDINAL HEALTH MEXICO 514, S. DE R.L. DE C.V.</t>
  </si>
  <si>
    <t>CHM1507039G5</t>
  </si>
  <si>
    <t>SHP-243312</t>
  </si>
  <si>
    <t>INSABI 2023</t>
  </si>
  <si>
    <t>060.168.6678</t>
  </si>
  <si>
    <t>Sondas. Para drenaje urinario. De látex punta redonda. Tipo: nelaton. Longitud: 40 cm. Calibre: 18 Fr. Pieza.</t>
  </si>
  <si>
    <t>2250R13QX</t>
  </si>
  <si>
    <t>REQ-13613</t>
  </si>
  <si>
    <t>060.456.06234082002U013 2025</t>
  </si>
  <si>
    <t>IMBB-07-02-2025-07192039-U013</t>
  </si>
  <si>
    <t>3162187260</t>
  </si>
  <si>
    <t>IB/1514/2025</t>
  </si>
  <si>
    <t>AMBIDERM, .S.A. DE C.V.</t>
  </si>
  <si>
    <t>AMB890104S63</t>
  </si>
  <si>
    <t>060.456.0623</t>
  </si>
  <si>
    <t>Guantes. de nitrilo o polibutadine-acrylonitrilo libre de látex ambidiestro desechable estéril. Tamaño: Chico Par.</t>
  </si>
  <si>
    <t>4082002</t>
  </si>
  <si>
    <t>REQ-9921</t>
  </si>
  <si>
    <t>060.231.0666ACBDCES-210-1124IMSS BIENESTAR 2024</t>
  </si>
  <si>
    <t>BIMB-07-01-2024-0701081311-ASF</t>
  </si>
  <si>
    <t>2258703832</t>
  </si>
  <si>
    <t>IB/481/2024/D</t>
  </si>
  <si>
    <t>PHARMATH DE MEXICO, S.A. DE CV.</t>
  </si>
  <si>
    <t>PME050509DE5</t>
  </si>
  <si>
    <t>060.231.0666</t>
  </si>
  <si>
    <t>Bata quirúrgica con puños ajustables y refuerzo en mangas y pecho. Tela no tejida de polipropileno impermeable a la penetración de líquidos y fluidos ; antiestática y resistente a la tensión. Estéril y desechable. Tamaño: Mediano Pieza.</t>
  </si>
  <si>
    <t>ACBDCES-210-1124</t>
  </si>
  <si>
    <t>REQ-10963</t>
  </si>
  <si>
    <t>010.000.3608.00P25M316U013 2025</t>
  </si>
  <si>
    <t>IMB-07-02-2025-07054028-U013</t>
  </si>
  <si>
    <t>292913326</t>
  </si>
  <si>
    <t>P25M316</t>
  </si>
  <si>
    <t>REQ-10094</t>
  </si>
  <si>
    <t>010.000.5721.00PO30624IMSS BIENESTAR 2024 COMPRA ESTATAL</t>
  </si>
  <si>
    <t>PCDF-036-24</t>
  </si>
  <si>
    <t>SERVICIOS PARA LA SALUD ABIES, S.A. DE C.V.</t>
  </si>
  <si>
    <t>SSA180802335</t>
  </si>
  <si>
    <t>010.000.5721.00</t>
  </si>
  <si>
    <t>Paracetamol solución inyectable cada frasco contiene: paracetamol 1 g. Envase con un frasco con 100 ml.</t>
  </si>
  <si>
    <t>PO30624</t>
  </si>
  <si>
    <t>ORD-271452</t>
  </si>
  <si>
    <t>010.000.4254.00J24J024IMSS BIENESTAR 2024 COMPRA ESTATAL</t>
  </si>
  <si>
    <t>RDC.43</t>
  </si>
  <si>
    <t>SHP-271451</t>
  </si>
  <si>
    <t>010.000.4254.00</t>
  </si>
  <si>
    <t>Ceftazidima. Solución Inyectable. Cada frasco ámpula con polvo contiene: Ceftazidima pentahidratada equivalente a 1 g de ceftazidima. Envase con un frasco ámpula y 3 ml de diluyente.</t>
  </si>
  <si>
    <t>J24J024</t>
  </si>
  <si>
    <t>ORD-268984</t>
  </si>
  <si>
    <t>REQ-9045</t>
  </si>
  <si>
    <t>060.436.070125-24IMSS BIENESTAR 2024</t>
  </si>
  <si>
    <t>BIMB-07-01-2024-0701010058-ASF</t>
  </si>
  <si>
    <t>2977780141</t>
  </si>
  <si>
    <t>IB/349/2024/D</t>
  </si>
  <si>
    <t>GALIA TEXTIL, S.A. DE C.V.</t>
  </si>
  <si>
    <t>GTE840618IJ7</t>
  </si>
  <si>
    <t>H.G. Tapachula</t>
  </si>
  <si>
    <t>CSSSA009244</t>
  </si>
  <si>
    <t>SHP-268983</t>
  </si>
  <si>
    <t>060.436.0701</t>
  </si>
  <si>
    <t>Gasas. Seca cortada de algodón de doce capas; con tejido tipo III. Largo: Ancho: 10 cm Estéril y desechable. Envase con dos y cinco piezas.</t>
  </si>
  <si>
    <t>25-24</t>
  </si>
  <si>
    <t>ORD-268902</t>
  </si>
  <si>
    <t>010.000.3630.00P24U948IMSS BIENESTAR 2024 COMPRA ESTATAL</t>
  </si>
  <si>
    <t>CVS-25-015</t>
  </si>
  <si>
    <t>SHP-268901</t>
  </si>
  <si>
    <t>010.000.3630.00</t>
  </si>
  <si>
    <t>Glucosa. Solución Inyectable al 5 % Cada 100 ml contiene: Glucosa anhidra o glucosa 5 g ó Glucosa monohidratada equivalente a 5.0 g de glucosa. Envase con 500 ml. Contiene: Glucosa 25.0 g</t>
  </si>
  <si>
    <t>P24U948</t>
  </si>
  <si>
    <t>REQ-10528</t>
  </si>
  <si>
    <t>060.130.0015RE2024070000165IMSS BIENESTAR 2024</t>
  </si>
  <si>
    <t>BIMB-07-01-2024-0701081600-ASF</t>
  </si>
  <si>
    <t>2993690740</t>
  </si>
  <si>
    <t>RE2024070000165</t>
  </si>
  <si>
    <t>REQ-12789</t>
  </si>
  <si>
    <t>060.859.0519084786U013 2025</t>
  </si>
  <si>
    <t>IMBB-07-02-2025-07119984-U013</t>
  </si>
  <si>
    <t>542950498</t>
  </si>
  <si>
    <t>IB/1470/2025</t>
  </si>
  <si>
    <t>PROFESSIONAL PHARMACY OCCIDENTE, S.A. DE C.V.</t>
  </si>
  <si>
    <t>PPO070725F64</t>
  </si>
  <si>
    <t>060.859.0519</t>
  </si>
  <si>
    <t>Tapones. Tapones   luer   lock   para   catéter   de   Hickman   para heparinización. Estéril y desechable. Pieza.</t>
  </si>
  <si>
    <t>084786</t>
  </si>
  <si>
    <t>REQ-11093</t>
  </si>
  <si>
    <t>010.000.3603.00V25M040U013 2025</t>
  </si>
  <si>
    <t>IMB-07-02-2025-07054025-U013</t>
  </si>
  <si>
    <t>418145215</t>
  </si>
  <si>
    <t>010.000.3603.00</t>
  </si>
  <si>
    <t>Glucosa. Solución Inyectable al 5% Cada 100 ml contienen: Glucosa anhidra o glucosa 5 g ó Glucosa monohidratada equivalente a 5.0 g de glucosa Envase con 1 000 ml. Contiene: Glucosa 50.0 g</t>
  </si>
  <si>
    <t>V25M040</t>
  </si>
  <si>
    <t>ORD-271359</t>
  </si>
  <si>
    <t>MITZI NOEMI RUIZ HERNANDEZ</t>
  </si>
  <si>
    <t>JURISDICCIÓN VIII TONALA</t>
  </si>
  <si>
    <t>H.G. Arriaga</t>
  </si>
  <si>
    <t>CSSSA000453</t>
  </si>
  <si>
    <t>SHP-271358</t>
  </si>
  <si>
    <t>ORD-271399</t>
  </si>
  <si>
    <t>ERIKA JUDITH LOPEZ AQUINO</t>
  </si>
  <si>
    <t>H.B.C. Teopisca</t>
  </si>
  <si>
    <t>CSSSA018752</t>
  </si>
  <si>
    <t>SHP-271398</t>
  </si>
  <si>
    <t>ORD-271397</t>
  </si>
  <si>
    <t>H.B.C. Revolucion Mexicana</t>
  </si>
  <si>
    <t>CSSSA017516</t>
  </si>
  <si>
    <t>SHP-271396</t>
  </si>
  <si>
    <t>ORD-271398</t>
  </si>
  <si>
    <t>H.B.C. Angel Albino Corzo</t>
  </si>
  <si>
    <t>CSSSA000412</t>
  </si>
  <si>
    <t>SHP-271397</t>
  </si>
  <si>
    <t>REQ-10216</t>
  </si>
  <si>
    <t>060.130.0015BOSP0225002IMSS BIENESTAR 2024 COMPRA ESTATAL</t>
  </si>
  <si>
    <t>PCDF-051-24</t>
  </si>
  <si>
    <t>PCDF-051/SALUD/008</t>
  </si>
  <si>
    <t>COMERCIALIZADORA 209 S.A. DE C.V.</t>
  </si>
  <si>
    <t>CDN1701279V1</t>
  </si>
  <si>
    <t>BOSP0225002</t>
  </si>
  <si>
    <t>REQ-13533</t>
  </si>
  <si>
    <t>060.598.0010250602U013 2025</t>
  </si>
  <si>
    <t>IMBB-07-02-2025-07192049-U013</t>
  </si>
  <si>
    <t>1171615102</t>
  </si>
  <si>
    <t>IB/2235/2025</t>
  </si>
  <si>
    <t>DL MEDICA, S.A. DE C.V.</t>
  </si>
  <si>
    <t>DME971017FZ7</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</si>
  <si>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</si>
  <si>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</si>
  <si>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250602</t>
  </si>
  <si>
    <t>REQ-8622</t>
  </si>
  <si>
    <t>010.000.3605.00V24A350IMSS BIENESTAR 2024</t>
  </si>
  <si>
    <t>IMB-07-02-2024-07126420-ASF</t>
  </si>
  <si>
    <t>641830728</t>
  </si>
  <si>
    <t>010.000.3605.00</t>
  </si>
  <si>
    <t>Glucosa. Solución Inyectable al 10% Cada 100 ml contienen: Glucosa anhidra o glucosa 10 g ó Glucosa monohidratada equivalente a 10.0 g de glucosa Envase con 1 000 ml. Contiene: Glucosa 100.0 g</t>
  </si>
  <si>
    <t>V24A350</t>
  </si>
  <si>
    <t>REQ-11072</t>
  </si>
  <si>
    <t>010.000.3623.000987F24U013 2025</t>
  </si>
  <si>
    <t>IMBB-07-02-2025-07034621-U013</t>
  </si>
  <si>
    <t>2859972640</t>
  </si>
  <si>
    <t>IB/0363/2025</t>
  </si>
  <si>
    <t>PROTEIN, S.A. DE C.V.</t>
  </si>
  <si>
    <t>PRO860604EE2</t>
  </si>
  <si>
    <t>010.000.3623.00</t>
  </si>
  <si>
    <t>Electrolitos Orales. Solución Cada sobre con polvo contiene: Glucosa 20.0 g Cloruro de potasio 1.5 g Cloruro de sodio 3.5 g Citrato trisódico dihidratado 2.9 g Envase con 27.9 g</t>
  </si>
  <si>
    <t>0987F24</t>
  </si>
  <si>
    <t>ORD-256147</t>
  </si>
  <si>
    <t>REQ-9447</t>
  </si>
  <si>
    <t>010.000.4259.0073C3G0182COMPRA ESTATAL</t>
  </si>
  <si>
    <t>PCF-035-24</t>
  </si>
  <si>
    <t>N1-000022</t>
  </si>
  <si>
    <t>SHP-256146</t>
  </si>
  <si>
    <t>010.000.4259.00</t>
  </si>
  <si>
    <t>Ciprofloxacino. Solución Inyectable Cada 100 ml contiene: Lactato o clorhidrato de ciprofloxacino equivalente a 200 mg de ciprofloxacino. Envase con 100 ml.</t>
  </si>
  <si>
    <t>73C3G0182</t>
  </si>
  <si>
    <t>REQ-10725</t>
  </si>
  <si>
    <t>010.000.4241.00B25E201U013 2025</t>
  </si>
  <si>
    <t>IMB-07-02-2025-07054049-U013</t>
  </si>
  <si>
    <t>292901942</t>
  </si>
  <si>
    <t>010.000.4241.00</t>
  </si>
  <si>
    <t>Dexametasona. Solución Inyectable. Cada frasco ámpula o ampolleta contiene: Fosfato sódico de dexametasona equivalente a 8 mg de fosfato de dexametasona. Envase con un frasco ámpula o ampolleta con 2 ml.</t>
  </si>
  <si>
    <t>B25E201</t>
  </si>
  <si>
    <t>REQ-6777</t>
  </si>
  <si>
    <t>060.456.03592206074INSABI 2023</t>
  </si>
  <si>
    <t>U00-07-02-2023-073438-ASF</t>
  </si>
  <si>
    <t>2120797712</t>
  </si>
  <si>
    <t>060.456.0359</t>
  </si>
  <si>
    <t>Guantes. Para cirugía. De látex natural estériles y desechables. Tallas: 8 Par.</t>
  </si>
  <si>
    <t>2206074</t>
  </si>
  <si>
    <t>REQ-11052</t>
  </si>
  <si>
    <t>010.000.1311.0073M5A0092U013 2025</t>
  </si>
  <si>
    <t>IMBB-07-02-2025-07034476-U013</t>
  </si>
  <si>
    <t>1484897780</t>
  </si>
  <si>
    <t>010.000.1311.00</t>
  </si>
  <si>
    <t>Metronidazol. Solución Inyectable Cada 100 ml contienen: Metronidazol 500 mg Envase con 100 ml.</t>
  </si>
  <si>
    <t>73M5A0092</t>
  </si>
  <si>
    <t>REQ-13698</t>
  </si>
  <si>
    <t>010.000.3622.0073BS5013GU013 2025</t>
  </si>
  <si>
    <t>IMBB-07-02-2025-07189166-U013</t>
  </si>
  <si>
    <t>1490141758</t>
  </si>
  <si>
    <t>IB/1605/2025</t>
  </si>
  <si>
    <t>010.000.3622.00</t>
  </si>
  <si>
    <t>Electrolitos Orales. Polvo (Fórmula de osmolaridad Baja) Cada sobre con polvo contiene: Glucosa anhidra o glucosa 13.5 g Cloruro de potasio 1.5 g Cloruro de sodio 2.6 g Citrato trisódico dihidratado 2.9 g Envase con 20.5 g</t>
  </si>
  <si>
    <t>73BS5013G</t>
  </si>
  <si>
    <t>REQ-9964</t>
  </si>
  <si>
    <t>010.000.2624.002411131COMPRA ESTATAL</t>
  </si>
  <si>
    <t>PCE-035-24</t>
  </si>
  <si>
    <t>SF-RF-VG1229-5775-4</t>
  </si>
  <si>
    <t>SERVICIO INTEGRAL FARMALOGISTICO S.A. DE C.V.</t>
  </si>
  <si>
    <t>SIF1204243E9</t>
  </si>
  <si>
    <t>010.000.2624.00</t>
  </si>
  <si>
    <t>Fenitoína. Solución Inyectable Cada ampolleta contiene: Fenitoína sódica 250 mg Envase con una ampolleta (250 mg/5 ml)</t>
  </si>
  <si>
    <t>2411131</t>
  </si>
  <si>
    <t>ORD-256208</t>
  </si>
  <si>
    <t>REQ-10964</t>
  </si>
  <si>
    <t>010.000.5165.00U25M634U013 2025</t>
  </si>
  <si>
    <t>IMB-07-02-2025-07054061-U013</t>
  </si>
  <si>
    <t>1004400716</t>
  </si>
  <si>
    <t>C.S.U. 03 Villa Comaltitlán</t>
  </si>
  <si>
    <t>CSSSA005266</t>
  </si>
  <si>
    <t>SHP-256207</t>
  </si>
  <si>
    <t>010.000.5165.00</t>
  </si>
  <si>
    <t>METFORMINA. TABLETA Cada tableta contiene: Clorhidrato de metformina  850 mg. Envase con 30 tabletas.</t>
  </si>
  <si>
    <t>U25M634</t>
  </si>
  <si>
    <t>REQ-10666</t>
  </si>
  <si>
    <t>010.000.0104.00EMX1463U013 2025</t>
  </si>
  <si>
    <t>IMBB-07-02-2025-07034394-U013</t>
  </si>
  <si>
    <t>2097715490</t>
  </si>
  <si>
    <t>IB/0386/2025</t>
  </si>
  <si>
    <t>SANOFI PASTEUR, S.A. DE C.V.</t>
  </si>
  <si>
    <t>SPA-960328-P62</t>
  </si>
  <si>
    <t>010.000.0104.00</t>
  </si>
  <si>
    <t>Paracetamol. Tableta cada tableta contiene: paracetamol 500 mg. envase con 10 tabletas.</t>
  </si>
  <si>
    <t>EMX1463</t>
  </si>
  <si>
    <t>REQ-10125</t>
  </si>
  <si>
    <t>010.000.1311.0073M4K0102COMPRA ESTATAL</t>
  </si>
  <si>
    <t>PCE-037-24</t>
  </si>
  <si>
    <t>REM1302</t>
  </si>
  <si>
    <t>FLAVIO AGUILAR VAZQUEZ</t>
  </si>
  <si>
    <t>AUVF711128EB5</t>
  </si>
  <si>
    <t>73M4K0102</t>
  </si>
  <si>
    <t>ORD-243252</t>
  </si>
  <si>
    <t>CITLALLI EMILENI MARTÍNEZ MARTÍNEZ</t>
  </si>
  <si>
    <t>REQ-10129</t>
  </si>
  <si>
    <t>010.000.1345.004110804COMPRA ESTATAL</t>
  </si>
  <si>
    <t>PCE-040-24</t>
  </si>
  <si>
    <t>AIE/0001/24</t>
  </si>
  <si>
    <t>ARBRE INSUMOS ESPECIALIZADOS, S.A. DE C.V.</t>
  </si>
  <si>
    <t>AIE1612264N4</t>
  </si>
  <si>
    <t>C.S.U. 03 Raymundo Enríquez</t>
  </si>
  <si>
    <t>CSSSA006543</t>
  </si>
  <si>
    <t>SHP-243251</t>
  </si>
  <si>
    <t>010.000.1345.00</t>
  </si>
  <si>
    <t>Albendazol. Suspensión Oral Cada frasco contiene: albendazol 400 mg Envase con 20 ml.</t>
  </si>
  <si>
    <t>4110804</t>
  </si>
  <si>
    <t>ORD-243266</t>
  </si>
  <si>
    <t>REQ-10430</t>
  </si>
  <si>
    <t>010.000.1344.00404142U013 2025</t>
  </si>
  <si>
    <t>IMBB-07-02-2025-07034477-U013</t>
  </si>
  <si>
    <t>1326749154</t>
  </si>
  <si>
    <t>IB/0201/2025</t>
  </si>
  <si>
    <t>IMPORTADORA Y MANUFACTURERA BRULUART, S.A.</t>
  </si>
  <si>
    <t>IMB510327A78</t>
  </si>
  <si>
    <t>SHP-243265</t>
  </si>
  <si>
    <t>010.000.1344.00</t>
  </si>
  <si>
    <t>Albendazol. Tableta Cada Tableta contiene: albendazol 200 mg Envase con 2 Tabletas.</t>
  </si>
  <si>
    <t>404142</t>
  </si>
  <si>
    <t>ORD-225618</t>
  </si>
  <si>
    <t>DANIELA SILIAS BALLINAS</t>
  </si>
  <si>
    <t>060.189.0015240706COMPRA ESTATAL</t>
  </si>
  <si>
    <t>C.S.R. 01 Chimix Dos</t>
  </si>
  <si>
    <t>CSSSA001585</t>
  </si>
  <si>
    <t>SHP-225618</t>
  </si>
  <si>
    <t>060.189.0015</t>
  </si>
  <si>
    <t>Cepillos. Dental para adulto con mango de plástico y cerdas rectas de nylon 6.12 100% virgen o poliéster P.B.T. 100% virgen de puntas redondeadas en 4 hileras cabeza corta consistencia mediana. Pieza.</t>
  </si>
  <si>
    <t>240706</t>
  </si>
  <si>
    <t>ORD-225546</t>
  </si>
  <si>
    <t>JURISDICCIÓN V PICHUCALCO</t>
  </si>
  <si>
    <t>C.S.R. 01 La Ceiba</t>
  </si>
  <si>
    <t>CSSSA017586</t>
  </si>
  <si>
    <t>SHP-225546</t>
  </si>
  <si>
    <t>060.189.0106240502COMPRA ESTATAL</t>
  </si>
  <si>
    <t>060.189.0106</t>
  </si>
  <si>
    <t>Cepillos. Dental infantil con mango de plástico y cerdas rectas de nylon 6.12 100% virgen o poliéster P.B.T. 100% virgen de puntas redondeadas en 3 hileras cabeza corta consistencia mediana. Pieza.</t>
  </si>
  <si>
    <t>240502</t>
  </si>
  <si>
    <t>ORD-225617</t>
  </si>
  <si>
    <t>REQ-9628</t>
  </si>
  <si>
    <t>060.189.0106240502IMSS BIENESTAR 2024</t>
  </si>
  <si>
    <t>BIMB-07-01-2024-0701081300-ASF</t>
  </si>
  <si>
    <t>1994464101</t>
  </si>
  <si>
    <t>IB/113/2024/D</t>
  </si>
  <si>
    <t>F.A.M. (U.M.) Caravana Tipo 0 San Carlos Corralito</t>
  </si>
  <si>
    <t>CSSSA018146</t>
  </si>
  <si>
    <t>SHP-225617</t>
  </si>
  <si>
    <t>ORD-225547</t>
  </si>
  <si>
    <t>F.A.M. (U.M.) Caravana Tipo 0 La Palma Uno</t>
  </si>
  <si>
    <t>CSSSA018356</t>
  </si>
  <si>
    <t>SHP-225547</t>
  </si>
  <si>
    <t>REQ-9632</t>
  </si>
  <si>
    <t>060.189.0015240801IMSS BIENESTAR 2024</t>
  </si>
  <si>
    <t>CIMB-07-01-2024-0701081298-ASF</t>
  </si>
  <si>
    <t>3952772258</t>
  </si>
  <si>
    <t>LA-ADQ-I174AYO-IB265-2023</t>
  </si>
  <si>
    <t>240801</t>
  </si>
  <si>
    <t>ORD-256134</t>
  </si>
  <si>
    <t>SHP-256133</t>
  </si>
  <si>
    <t>ORD-256160</t>
  </si>
  <si>
    <t>REQ-11502</t>
  </si>
  <si>
    <t>060.066.10945038161U013 2025</t>
  </si>
  <si>
    <t>IMBB-07-02-2025-07079048-U013</t>
  </si>
  <si>
    <t>2610099023</t>
  </si>
  <si>
    <t>IB/880/2025</t>
  </si>
  <si>
    <t>BECTON DICKINSON DE MEXICO, S.A. DE C.V.</t>
  </si>
  <si>
    <t>BDM571004IZ6</t>
  </si>
  <si>
    <t>SHP-256159</t>
  </si>
  <si>
    <t>060.066.1094</t>
  </si>
  <si>
    <t>Antisépticos. Solución con gluconato de clorhexidina al 2% p/v en alcohol isopropílico al 70% contenida en un aplicador con tinta naranja o rosa o incoloro. Contiene: 1.5 ml Estéril y desechable Envase</t>
  </si>
  <si>
    <t>5038161</t>
  </si>
  <si>
    <t>REQ-10767</t>
  </si>
  <si>
    <t>010.000.2520.00U25E500U013 2025</t>
  </si>
  <si>
    <t>IMB-07-02-2025-07054013-U013</t>
  </si>
  <si>
    <t>292901948</t>
  </si>
  <si>
    <t>010.000.2520.00</t>
  </si>
  <si>
    <t>Losartán. Gragea o comprimido recubierto. Cada gragea o comprimido recubierto contiene: Losartán potásico 50 mg. Envase con 30 grageas o comprimidos recubiertos.</t>
  </si>
  <si>
    <t>U25E500</t>
  </si>
  <si>
    <t>ORD-253019</t>
  </si>
  <si>
    <t>REQ-11187</t>
  </si>
  <si>
    <t>010.000.5187.004B246U013 2025</t>
  </si>
  <si>
    <t>ZIMB-07-01-2025-07002206-U013</t>
  </si>
  <si>
    <t>628540002</t>
  </si>
  <si>
    <t>H.B.C. Chamula</t>
  </si>
  <si>
    <t>CSSSA019481</t>
  </si>
  <si>
    <t>SHP-253018</t>
  </si>
  <si>
    <t>4B246</t>
  </si>
  <si>
    <t>ORD-271472</t>
  </si>
  <si>
    <t>JURISDICCIÓN III COMITAN</t>
  </si>
  <si>
    <t>H.B.C. Frontera Comalapa</t>
  </si>
  <si>
    <t>CSSSA018781</t>
  </si>
  <si>
    <t>SHP-271471</t>
  </si>
  <si>
    <t>ORD-243289</t>
  </si>
  <si>
    <t>010.000.3623.000550C23IMSS BIENESTAR 2024 COMPRA ESTATAL</t>
  </si>
  <si>
    <t>RDC.18</t>
  </si>
  <si>
    <t>Jurisdicción I - Tuxtla Gutiérrez</t>
  </si>
  <si>
    <t>CSSSA017225</t>
  </si>
  <si>
    <t>SHP-243288</t>
  </si>
  <si>
    <t>0550C23</t>
  </si>
  <si>
    <t>ORD-271421</t>
  </si>
  <si>
    <t>H.B.C. Margaritas</t>
  </si>
  <si>
    <t>CSSSA003265</t>
  </si>
  <si>
    <t>SHP-271420</t>
  </si>
  <si>
    <t>ORD-271463</t>
  </si>
  <si>
    <t>H.B.C. Tila</t>
  </si>
  <si>
    <t>CSSSA006934</t>
  </si>
  <si>
    <t>SHP-271462</t>
  </si>
  <si>
    <t>ORD-271404</t>
  </si>
  <si>
    <t>JURISDICCIÓN X MOTOZINTLA</t>
  </si>
  <si>
    <t>H.B.C. El Porvenir</t>
  </si>
  <si>
    <t>CSSSA017504</t>
  </si>
  <si>
    <t>SHP-271403</t>
  </si>
  <si>
    <t>ORD-271401</t>
  </si>
  <si>
    <t>XITLALI BERENICE HERNANDEZ LOPEZ</t>
  </si>
  <si>
    <t>SHP-271400</t>
  </si>
  <si>
    <t>ORD-271411</t>
  </si>
  <si>
    <t>SHP-271410</t>
  </si>
  <si>
    <t>ORD-271459</t>
  </si>
  <si>
    <t>H.B.C. Santo Domingo</t>
  </si>
  <si>
    <t>CSSSA017731</t>
  </si>
  <si>
    <t>SHP-271458</t>
  </si>
  <si>
    <t>ORD-271445</t>
  </si>
  <si>
    <t>CLÍNICA PARA LA ATENCIÓN DE PARTO HUMANIZADO PALENQUE</t>
  </si>
  <si>
    <t>CSSSA019510C</t>
  </si>
  <si>
    <t>SHP-271444</t>
  </si>
  <si>
    <t>REQ-11045</t>
  </si>
  <si>
    <t>010.000.3407.00K03080U013 2025</t>
  </si>
  <si>
    <t>IMBB-07-02-2025-07034594-U013</t>
  </si>
  <si>
    <t>LMOT-001169</t>
  </si>
  <si>
    <t>IB/0243/2025</t>
  </si>
  <si>
    <t>LABORATORIOS LIOMONT, S.A. DE C.V.</t>
  </si>
  <si>
    <t>LLI811201IX6</t>
  </si>
  <si>
    <t>010.000.3407.00</t>
  </si>
  <si>
    <t>Naproxeno. Tableta Cada Tableta contiene: Naproxeno 250 mg Envase con 30 Tabletas.</t>
  </si>
  <si>
    <t>K03080</t>
  </si>
  <si>
    <t>ORD-253068</t>
  </si>
  <si>
    <t>SHP-253067</t>
  </si>
  <si>
    <t>ORD-256283</t>
  </si>
  <si>
    <t>C.S.U. 05 Huixtla</t>
  </si>
  <si>
    <t>CSSSA002623</t>
  </si>
  <si>
    <t>SHP-256282</t>
  </si>
  <si>
    <t>REQ-10990</t>
  </si>
  <si>
    <t>060.116.0021ACBPPNE-003-25-000U013 2025</t>
  </si>
  <si>
    <t>IMBB-07-02-2025-07057368-U013</t>
  </si>
  <si>
    <t>1119070832</t>
  </si>
  <si>
    <t>IB/0057/2025</t>
  </si>
  <si>
    <t>ANSOF COMERCIALIZADORES, S.A. DE C.V.</t>
  </si>
  <si>
    <t>ACO150612873</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</si>
  <si>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</si>
  <si>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</si>
  <si>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ACBPPNE-003-25-000</t>
  </si>
  <si>
    <t>ORD-256141</t>
  </si>
  <si>
    <t>REQ-10211</t>
  </si>
  <si>
    <t>060.681.0034140IMSS BIENESTAR 2024 COMPRA ESTATAL</t>
  </si>
  <si>
    <t>PCDF-052-24</t>
  </si>
  <si>
    <t>PCDF-052/SALUD/001</t>
  </si>
  <si>
    <t>COMERCIALIZADORA INTERMEDIARIA DE BIENES, INSUMOS Y MATERIA PRIMA COBIMAP, S.A. DE C.V.</t>
  </si>
  <si>
    <t>CIB150220AF3</t>
  </si>
  <si>
    <t>SHP-256140</t>
  </si>
  <si>
    <t>140</t>
  </si>
  <si>
    <t>010.000.3616.00P25A006U013 2025</t>
  </si>
  <si>
    <t>292933033</t>
  </si>
  <si>
    <t>P25A006</t>
  </si>
  <si>
    <t>060.681.0042AWB2406E006M-ACOMPRA ESTATAL</t>
  </si>
  <si>
    <t>P1-000193</t>
  </si>
  <si>
    <t>AWB2406E006M-A</t>
  </si>
  <si>
    <t>ORD-253053</t>
  </si>
  <si>
    <t>REQ-10183</t>
  </si>
  <si>
    <t>010.000.1937.00J24G045COMPRA ESTATAL</t>
  </si>
  <si>
    <t>PCE-039-24</t>
  </si>
  <si>
    <t>AIE/0002/24</t>
  </si>
  <si>
    <t>H.B.C. Berriozabal</t>
  </si>
  <si>
    <t>CSSSA009203</t>
  </si>
  <si>
    <t>SHP-253052</t>
  </si>
  <si>
    <t>010.000.1937.00</t>
  </si>
  <si>
    <t>Ceftriaxona. Solución Inyectable. Cada frasco ámpula con polvo contiene: Ceftriaxona sódica equivalente a 1 g de ceftriaxona. Envase con un frasco ámpula y 10 ml de diluyente.</t>
  </si>
  <si>
    <t>J24G045</t>
  </si>
  <si>
    <t>060.681.0034240828IMSS BIENESTAR 2024 COMPRA ESTATAL</t>
  </si>
  <si>
    <t>RDC.22</t>
  </si>
  <si>
    <t>REQ-10853</t>
  </si>
  <si>
    <t>010.000.1973.00R24G09U013 2025</t>
  </si>
  <si>
    <t>IMB-07-02-2025-07033158-U013</t>
  </si>
  <si>
    <t>292884999</t>
  </si>
  <si>
    <t>LA-E115-2022-MED-INSABI-032-2023/2024</t>
  </si>
  <si>
    <t>DISTRIBUIDOR MEDICO TECNOMED, S.A. DE C.V.</t>
  </si>
  <si>
    <t>DMT190918N50</t>
  </si>
  <si>
    <t>R24G09</t>
  </si>
  <si>
    <t>REQ-11188</t>
  </si>
  <si>
    <t>010.000.3616.00P24N024U013 2025</t>
  </si>
  <si>
    <t>ZIMB-07-01-2025-07002197-U013</t>
  </si>
  <si>
    <t>2536490264</t>
  </si>
  <si>
    <t>P24N024</t>
  </si>
  <si>
    <t>REQ-11432</t>
  </si>
  <si>
    <t>010.000.3627.00V25E534U013 2025</t>
  </si>
  <si>
    <t>ZIMB-07-02-2025-07071545-U013</t>
  </si>
  <si>
    <t>611953999</t>
  </si>
  <si>
    <t>IB/1290/2024</t>
  </si>
  <si>
    <t>V25E534</t>
  </si>
  <si>
    <t>ORD-253060</t>
  </si>
  <si>
    <t>REQ-9459</t>
  </si>
  <si>
    <t>060.167.50102211486401COMPRA ESTATAL</t>
  </si>
  <si>
    <t>PCF-043-24</t>
  </si>
  <si>
    <t>CUBRI-043-4</t>
  </si>
  <si>
    <t>INSUMOS CUBRIFAT S.A. DE C.V.</t>
  </si>
  <si>
    <t>ICU210817533</t>
  </si>
  <si>
    <t>SHP-253059</t>
  </si>
  <si>
    <t>060.167.5010</t>
  </si>
  <si>
    <t>Catéteres. Para suministro de oxígeno. Con tubo de conexión y cánula nasal. De plástico con diámetro interno de 2.0 mm. Longitud 180 cm. Pieza.</t>
  </si>
  <si>
    <t>2211486401</t>
  </si>
  <si>
    <t>060.231.0666812011124COMPRA ESTATAL</t>
  </si>
  <si>
    <t>P1-000159</t>
  </si>
  <si>
    <t>812011124</t>
  </si>
  <si>
    <t>REQ-12067</t>
  </si>
  <si>
    <t>060.532.0175124483U013 2025</t>
  </si>
  <si>
    <t>IMBB-07-02-2025-07100527-U013</t>
  </si>
  <si>
    <t>1053978522</t>
  </si>
  <si>
    <t>IB/2311/2025</t>
  </si>
  <si>
    <t>060.532.0175</t>
  </si>
  <si>
    <t>Equipos. Para transfusión, con filtro, sin aguja. Equipo.</t>
  </si>
  <si>
    <t>124483</t>
  </si>
  <si>
    <t>REQ-11049</t>
  </si>
  <si>
    <t>010.000.3607.0073U5B0052U013 2025</t>
  </si>
  <si>
    <t>IMBB-07-02-2025-07034609-U013</t>
  </si>
  <si>
    <t>790022216</t>
  </si>
  <si>
    <t>IB/0632/2025</t>
  </si>
  <si>
    <t>010.000.3607.00</t>
  </si>
  <si>
    <t>Glucosa. Solución Inyectable al 50 % Cada 100 ml contienen: Glucosa anhidra o glucosa 50 g ó Glucosa monohidratada equivalente a 50.0 g de glucosa Envase con 50 ml. Contiene: Glucosa 25.0 g</t>
  </si>
  <si>
    <t>73U5B0052</t>
  </si>
  <si>
    <t>REQ-11139</t>
  </si>
  <si>
    <t>010.000.3609.00P25M731U013 2025</t>
  </si>
  <si>
    <t>IMB-07-02-2025-07054029-U013</t>
  </si>
  <si>
    <t>59384488</t>
  </si>
  <si>
    <t>P25M731</t>
  </si>
  <si>
    <t>ORD-243285</t>
  </si>
  <si>
    <t>C.S.U. 04 Tapachula Indeco Cebadilla</t>
  </si>
  <si>
    <t>CSSSA006432</t>
  </si>
  <si>
    <t>SHP-243284</t>
  </si>
  <si>
    <t>ORD-243322</t>
  </si>
  <si>
    <t>REQ-10213</t>
  </si>
  <si>
    <t>060.189.0015240904COMPRA ESTATAL</t>
  </si>
  <si>
    <t>PCE-059-24</t>
  </si>
  <si>
    <t>PCE-059/SALUD/004</t>
  </si>
  <si>
    <t>COMERCIALIZADORA CHITOOBE, S.A DE C.V.</t>
  </si>
  <si>
    <t>CCI170922MU8</t>
  </si>
  <si>
    <t>C.S.U. 01 Nuevo Milenio</t>
  </si>
  <si>
    <t>CSSSA018040</t>
  </si>
  <si>
    <t>SHP-243321</t>
  </si>
  <si>
    <t>240904</t>
  </si>
  <si>
    <t>ORD-243298</t>
  </si>
  <si>
    <t>SHP-243297</t>
  </si>
  <si>
    <t>ORD-225531</t>
  </si>
  <si>
    <t>REQ-8703</t>
  </si>
  <si>
    <t>010.000.5941.004020327IMSS BIENESTAR 2024</t>
  </si>
  <si>
    <t>BIMB-07-01-2024-07000166-ASF</t>
  </si>
  <si>
    <t>2561327992</t>
  </si>
  <si>
    <t>IB/208/2024/D</t>
  </si>
  <si>
    <t>MEDICA FARMA ARCAR, S.A. DE C.V.</t>
  </si>
  <si>
    <t>MAF050211QP6</t>
  </si>
  <si>
    <t>SHP-225531</t>
  </si>
  <si>
    <t>010.000.5941.00</t>
  </si>
  <si>
    <t>Ibuprofeno. Tableta O Cápsula: Cada Tableta o Cápsula contiene: Ibuprofeno 400 mg Envase con 10 Tabletas o Cápsulas</t>
  </si>
  <si>
    <t>4020327</t>
  </si>
  <si>
    <t>ORD-256203</t>
  </si>
  <si>
    <t>REQ-10178</t>
  </si>
  <si>
    <t>010.000.1701.0018782COMPRA ESTATAL</t>
  </si>
  <si>
    <t>PCE-045-24</t>
  </si>
  <si>
    <t>0005</t>
  </si>
  <si>
    <t>COORPORATIVO LOZAMAR, S.A. DE C.V.</t>
  </si>
  <si>
    <t>ISA-961203-QN5</t>
  </si>
  <si>
    <t>SHP-256202</t>
  </si>
  <si>
    <t>010.000.1701.00</t>
  </si>
  <si>
    <t>Fumarato ferroso. Tableta. Cada tableta contiene: Fumarato ferroso 200 mg equivalente a 65.74 mg de hierro elemental. Envase con 50 Tabletas.</t>
  </si>
  <si>
    <t>18782</t>
  </si>
  <si>
    <t>REQ-12081</t>
  </si>
  <si>
    <t>010.000.3609.00P25J704U013 2025</t>
  </si>
  <si>
    <t>IMBB-07-02-2025-07100006-U013</t>
  </si>
  <si>
    <t>1070281466</t>
  </si>
  <si>
    <t>P25J704</t>
  </si>
  <si>
    <t>ORD-243262</t>
  </si>
  <si>
    <t>SHP-243261</t>
  </si>
  <si>
    <t>ORD-243410</t>
  </si>
  <si>
    <t>010.000.1706.01AF24101AIMSS BIENESTAR 2024 COMPRA ESTATAL</t>
  </si>
  <si>
    <t>RDC.27</t>
  </si>
  <si>
    <t>CLINICA PARA LA ATENCIÓN DE PARTO HUMANIZADO SAN CRISTOBAL DE LAS CASAS</t>
  </si>
  <si>
    <t>CCSSSA009483</t>
  </si>
  <si>
    <t>SHP-243409</t>
  </si>
  <si>
    <t>010.000.1706.01</t>
  </si>
  <si>
    <t>Ácido fólico. Tableta. Cada tableta contiene: Ácido fólico 5 mg Envase con 92 Tabletas.</t>
  </si>
  <si>
    <t>AF24101A</t>
  </si>
  <si>
    <t>ORD-243354</t>
  </si>
  <si>
    <t>REQ-10455</t>
  </si>
  <si>
    <t>060.189.0106240606U013 2025</t>
  </si>
  <si>
    <t>BIMB-07-01-2025-07033104-U013</t>
  </si>
  <si>
    <t>91554737</t>
  </si>
  <si>
    <t>C.S.U. 02 Tuxtla Chico</t>
  </si>
  <si>
    <t>CSSSA007663</t>
  </si>
  <si>
    <t>SHP-243353</t>
  </si>
  <si>
    <t>240606</t>
  </si>
  <si>
    <t>ORD-256271</t>
  </si>
  <si>
    <t>SHP-256270</t>
  </si>
  <si>
    <t>010.000.2462.00SI2416COMPRA ESTATAL</t>
  </si>
  <si>
    <t>0006</t>
  </si>
  <si>
    <t>010.000.2462.00</t>
  </si>
  <si>
    <t>Ambroxol. Comprimido Cada Comprimido contiene: Clorhidrato de ambroxol 30 mg Envase con 20 Comprimidos.</t>
  </si>
  <si>
    <t>SI2416</t>
  </si>
  <si>
    <t>REQ-10831</t>
  </si>
  <si>
    <t>010.000.3419.00630194U013 2025</t>
  </si>
  <si>
    <t>IMBB-07-02-2025-07034597-U013</t>
  </si>
  <si>
    <t>4200950714</t>
  </si>
  <si>
    <t>IB/0316/2025</t>
  </si>
  <si>
    <t>NOVAG INFANCIA, S.A. DE C.V.</t>
  </si>
  <si>
    <t>NIN780801IH0</t>
  </si>
  <si>
    <t>010.000.3419.00</t>
  </si>
  <si>
    <t>Naproxeno. Suspensión Oral Cada 5 ml contienen: Naproxeno 125 mg Envase con 100 ml.</t>
  </si>
  <si>
    <t>630194</t>
  </si>
  <si>
    <t>ORD-253024</t>
  </si>
  <si>
    <t>Jurisdicción VII - Tapachula</t>
  </si>
  <si>
    <t>CSSSA006403</t>
  </si>
  <si>
    <t>SHP-253023</t>
  </si>
  <si>
    <t>ORD-253067</t>
  </si>
  <si>
    <t>REQ-10177</t>
  </si>
  <si>
    <t>010.000.3623.000055A24IMSS BIENESTAR 2024</t>
  </si>
  <si>
    <t>CIMB-07-01-2024-0701080973-ASF</t>
  </si>
  <si>
    <t>401103720</t>
  </si>
  <si>
    <t>LA-ADQ-I174AYO-IB132-2023</t>
  </si>
  <si>
    <t>GRUPO FARMACEUTICO TOTALFARMA, S.A. DE C.V.</t>
  </si>
  <si>
    <t>GFT1906303VA</t>
  </si>
  <si>
    <t>SHP-253066</t>
  </si>
  <si>
    <t>0055A24</t>
  </si>
  <si>
    <t>ORD-253002</t>
  </si>
  <si>
    <t>SHP-253001</t>
  </si>
  <si>
    <t>ORD-253010</t>
  </si>
  <si>
    <t>SHP-253009</t>
  </si>
  <si>
    <t>REQ-12047</t>
  </si>
  <si>
    <t>010.000.3612.00P24N738U013 2025</t>
  </si>
  <si>
    <t>IMBB-07-02-2025-07100008-U013</t>
  </si>
  <si>
    <t>2552912337</t>
  </si>
  <si>
    <t>P24N738</t>
  </si>
  <si>
    <t>REQ-11732</t>
  </si>
  <si>
    <t>010.000.1206.00U24N474U013 2025</t>
  </si>
  <si>
    <t>IMBB-07-02-2025-07090328-U013</t>
  </si>
  <si>
    <t>1755180935</t>
  </si>
  <si>
    <t>010.000.1206.00</t>
  </si>
  <si>
    <t>Butilhioscina o hioscina. Gragea o Tableta Cada Gragea o Tableta contiene: Bromuro de butilhioscina o butilbromuro de hioscina 10 mg Envase con 10 Grageas o Tabletas.</t>
  </si>
  <si>
    <t>U24N474</t>
  </si>
  <si>
    <t>REQ-11207</t>
  </si>
  <si>
    <t>010.000.3675.00007FN232U013 2025</t>
  </si>
  <si>
    <t>IMB-07-01-2025-07032956-U013</t>
  </si>
  <si>
    <t>2848954811</t>
  </si>
  <si>
    <t>LA-I-1-MED-INSABI-061-2023/2024</t>
  </si>
  <si>
    <t>PRODIFAM, S.A. DE C.V.</t>
  </si>
  <si>
    <t>PRO840510812</t>
  </si>
  <si>
    <t>007FN232</t>
  </si>
  <si>
    <t>060.532.016720240325IMSS BIENESTAR 2024 COMPRA ESTATAL</t>
  </si>
  <si>
    <t>20240325</t>
  </si>
  <si>
    <t>REQ-10642</t>
  </si>
  <si>
    <t>060.166.42534310280U013 2025</t>
  </si>
  <si>
    <t>IMBB-07-02-2025-07035039-U013</t>
  </si>
  <si>
    <t>3028454450</t>
  </si>
  <si>
    <t>IB/0095/2025</t>
  </si>
  <si>
    <t>060.166.4253</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</si>
  <si>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</si>
  <si>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4310280</t>
  </si>
  <si>
    <t>ORD-271361</t>
  </si>
  <si>
    <t>010.000.5265.00X4IBB0E3COMPRA ESTATAL</t>
  </si>
  <si>
    <t>REM1221</t>
  </si>
  <si>
    <t>SHP-271360</t>
  </si>
  <si>
    <t>010.000.5265.00</t>
  </si>
  <si>
    <t>Imipenem y cilastatina. Solución Inyectable Cada frasco ámpula con polvo contiene: Imipenem monohidratado equivalente a 500 mg de imipenem. Cilastatina sódica equivalente a 500 mg de cilastatina. Envase con un frasco ámpula</t>
  </si>
  <si>
    <t>X4IBB0E3</t>
  </si>
  <si>
    <t>ORD-243346</t>
  </si>
  <si>
    <t>SHP-243345</t>
  </si>
  <si>
    <t>010.000.3627.0073F4L0072COMPRA ESTATAL</t>
  </si>
  <si>
    <t>AIE/0011/24</t>
  </si>
  <si>
    <t>73F4L0072</t>
  </si>
  <si>
    <t>010.000.3616.00P25A005U013 2025</t>
  </si>
  <si>
    <t>P25A005</t>
  </si>
  <si>
    <t>010.000.3609.00P25J701U013 2025</t>
  </si>
  <si>
    <t>P25J701</t>
  </si>
  <si>
    <t>ORD-253009</t>
  </si>
  <si>
    <t>060.681.0067S/LIMSS BIENESTAR 2024 COMPRA ESTATAL</t>
  </si>
  <si>
    <t>PCDF-052/SALUD/003</t>
  </si>
  <si>
    <t>H.B.C. Chalchihuitan</t>
  </si>
  <si>
    <t>CSSSA018793</t>
  </si>
  <si>
    <t>SHP-253008</t>
  </si>
  <si>
    <t>S/L</t>
  </si>
  <si>
    <t>ORD-271373</t>
  </si>
  <si>
    <t>REQ-8259</t>
  </si>
  <si>
    <t>060.456.03001A05404IMSS BIENESTAR 2024</t>
  </si>
  <si>
    <t>IMB-07-02-2024-07132823-ASF</t>
  </si>
  <si>
    <t>4043107414</t>
  </si>
  <si>
    <t>LA-E113-2022-MATCUR-INSABI-031-2023/2024</t>
  </si>
  <si>
    <t>GARKEN MEDICAL SA DE CV</t>
  </si>
  <si>
    <t>GME170117QQ4</t>
  </si>
  <si>
    <t>Clínica para la Atención de Parto Humanizado Comitán de Domínguez</t>
  </si>
  <si>
    <t>CSSSA009833</t>
  </si>
  <si>
    <t>SHP-271372</t>
  </si>
  <si>
    <t>1A05404</t>
  </si>
  <si>
    <t>ORD-271438</t>
  </si>
  <si>
    <t>SHP-271437</t>
  </si>
  <si>
    <t>REQ-10501</t>
  </si>
  <si>
    <t>060.189.0106240902U013 2025</t>
  </si>
  <si>
    <t>IMBB-07-02-2025-07035094-U013</t>
  </si>
  <si>
    <t>4290516360</t>
  </si>
  <si>
    <t>IB/0135/2025</t>
  </si>
  <si>
    <t>240902</t>
  </si>
  <si>
    <t>REQ-10735</t>
  </si>
  <si>
    <t>010.000.3601.00P25F318U013 2025</t>
  </si>
  <si>
    <t>IMB-07-02-2025-07054024-U013</t>
  </si>
  <si>
    <t>292901889</t>
  </si>
  <si>
    <t>010.000.3601.00</t>
  </si>
  <si>
    <t>Glucosa. Solución Inyectable al 5 % Cada 100 ml contiene: Glucosa anhidra o glucosa 5 g ó Glucosa monohidratada equivalente a 5.0 g de glucosa Envase con 250 ml. Contiene: Glucosa 12.5 g</t>
  </si>
  <si>
    <t>P25F318</t>
  </si>
  <si>
    <t>010.000.5187.00T25A170U013 2025</t>
  </si>
  <si>
    <t>T25A170</t>
  </si>
  <si>
    <t>ORD-271351</t>
  </si>
  <si>
    <t>REQ-13418</t>
  </si>
  <si>
    <t>010.000.0106.002502763U013 2025</t>
  </si>
  <si>
    <t>IMBB-07-02-2025-07189096-U013</t>
  </si>
  <si>
    <t>644861511</t>
  </si>
  <si>
    <t>IB/2817/2025</t>
  </si>
  <si>
    <t>LABORATORIOS SOLFRAN SA</t>
  </si>
  <si>
    <t>LSO741128J68</t>
  </si>
  <si>
    <t>Jurisdicción II - San Cristobal de las Casas</t>
  </si>
  <si>
    <t>CSSSA017230</t>
  </si>
  <si>
    <t>SHP-271350</t>
  </si>
  <si>
    <t>010.000.0106.00</t>
  </si>
  <si>
    <t>Paracetamol. Solucion oral cada ml contiene: paracetamol 100 mg. envase con 15 ml gotero calibrado a 0.5 y 1 ml integrado o adjunto al envase que sirve de tapa.</t>
  </si>
  <si>
    <t>2502763</t>
  </si>
  <si>
    <t>ORD-268783</t>
  </si>
  <si>
    <t>060.532.0084240803IMSS BIENESTAR 2024 COMPRA ESTATAL</t>
  </si>
  <si>
    <t>CVS-25-010</t>
  </si>
  <si>
    <t>SHP-268782</t>
  </si>
  <si>
    <t>240803</t>
  </si>
  <si>
    <t>ORD-256127</t>
  </si>
  <si>
    <t>REQ-9461</t>
  </si>
  <si>
    <t>010.000.3610.00P24S007IMSS BIENESTAR 2024</t>
  </si>
  <si>
    <t>IMB-07-02-2024-07001049-ASF</t>
  </si>
  <si>
    <t>54348651</t>
  </si>
  <si>
    <t>SHP-256126</t>
  </si>
  <si>
    <t>P24S007</t>
  </si>
  <si>
    <t>010.000.3616.00P25A001U013 2025</t>
  </si>
  <si>
    <t>564954537</t>
  </si>
  <si>
    <t>P25A001</t>
  </si>
  <si>
    <t>ORD-256206</t>
  </si>
  <si>
    <t>REQ-10099</t>
  </si>
  <si>
    <t>010.000.0106.00LG2413IMSS BIENESTAR 2024 COMPRA ESTATAL</t>
  </si>
  <si>
    <t>PCDF-035-24</t>
  </si>
  <si>
    <t>RDC.5</t>
  </si>
  <si>
    <t>SHP-256205</t>
  </si>
  <si>
    <t>LG2413</t>
  </si>
  <si>
    <t>REQ-10727</t>
  </si>
  <si>
    <t>010.000.4254.00J24S059U013 2025</t>
  </si>
  <si>
    <t>IMB-07-02-2025-07054052-U013</t>
  </si>
  <si>
    <t>292901935</t>
  </si>
  <si>
    <t>J24S059</t>
  </si>
  <si>
    <t>REQ-7370</t>
  </si>
  <si>
    <t>060.066.00393A423020IMSS BIENESTAR 2024</t>
  </si>
  <si>
    <t>IMB-07-02-2024-07023498-ASF</t>
  </si>
  <si>
    <t>4208883180</t>
  </si>
  <si>
    <t>060.066.0039</t>
  </si>
  <si>
    <t>Antisépticos. Alcohol desnaturalizado. Envase con 1 lt.</t>
  </si>
  <si>
    <t>3A423020</t>
  </si>
  <si>
    <t>REQ-10793</t>
  </si>
  <si>
    <t>010.000.1939.00J24N019U013 2025</t>
  </si>
  <si>
    <t>IMB-07-02-2025-07053997-U013</t>
  </si>
  <si>
    <t>292907560</t>
  </si>
  <si>
    <t>010.000.1939.00</t>
  </si>
  <si>
    <t>Cefalexina. Tableta o Cápsula. Cada tableta o cápsula contiene: Cefalexina monohidratada equivalente a 500 mg de cefalexina. Envase con 20 Tabletas o Cápsulas.</t>
  </si>
  <si>
    <t>J24N019</t>
  </si>
  <si>
    <t>REQ-11367</t>
  </si>
  <si>
    <t>010.000.2431.0021512U013 2025</t>
  </si>
  <si>
    <t>IMB-07-02-2025-07053417-U013</t>
  </si>
  <si>
    <t>2962153351</t>
  </si>
  <si>
    <t>IB/0104/2025</t>
  </si>
  <si>
    <t>BIORESEARCH DE MEXICO, S.A. DE C.V.</t>
  </si>
  <si>
    <t>BME910712331</t>
  </si>
  <si>
    <t>010.000.2431.00</t>
  </si>
  <si>
    <t>Dextrometorfano. Jarabe. Cada 100 ml contienen: Bromhidrato de dextrometorfano 300 mg Envase con 60 ml y dosificador (15 mg/5 ml).</t>
  </si>
  <si>
    <t>21512</t>
  </si>
  <si>
    <t>060.231.01044A065005IMSS BIENESTAR 2024 COMPRA ESTATAL</t>
  </si>
  <si>
    <t>PCDF-051/SALUD/016</t>
  </si>
  <si>
    <t>060.231.0104</t>
  </si>
  <si>
    <t>Compresas. Para vientre. De algodón con trama radiopaca. Longitud: 70 cm. Ancho: 45 cm. Envase con 6 piezas.</t>
  </si>
  <si>
    <t>4A065005</t>
  </si>
  <si>
    <t>REQ-10496</t>
  </si>
  <si>
    <t>060.166.42873326123NU013 2025</t>
  </si>
  <si>
    <t>IMBB-07-02-2025-07035041-U013</t>
  </si>
  <si>
    <t>497866128</t>
  </si>
  <si>
    <t>IB/0236/2025</t>
  </si>
  <si>
    <t>LABORATORIOS JAYOR, S.A. DE C.V.</t>
  </si>
  <si>
    <t>LJA0303264L5</t>
  </si>
  <si>
    <t>060.166.4287</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</si>
  <si>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</si>
  <si>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3326123N</t>
  </si>
  <si>
    <t>ORD-268857</t>
  </si>
  <si>
    <t>REQ-10097</t>
  </si>
  <si>
    <t>010.000.3622.000584C24IMSS BIENESTAR 2024 COMPRA ESTATAL</t>
  </si>
  <si>
    <t>PCDF-041-24</t>
  </si>
  <si>
    <t>REM1-482</t>
  </si>
  <si>
    <t>CONSORCIO MEDICO MIUS, S. DE R.L. DE C.V.</t>
  </si>
  <si>
    <t>CMM171025QG7</t>
  </si>
  <si>
    <t>C.E.S.S.A. Coapilla</t>
  </si>
  <si>
    <t>CSSSA012703</t>
  </si>
  <si>
    <t>SHP-268856</t>
  </si>
  <si>
    <t>0584C24</t>
  </si>
  <si>
    <t>ORD-268734</t>
  </si>
  <si>
    <t>C.E.S.S.A. Chapultenango, "Dr. Manuel Velasco Suarez"</t>
  </si>
  <si>
    <t>CSSSA009384</t>
  </si>
  <si>
    <t>SHP-268733</t>
  </si>
  <si>
    <t>ORD-268850</t>
  </si>
  <si>
    <t>C.E.S.S.A.Ocotepec</t>
  </si>
  <si>
    <t>CSSSA009360</t>
  </si>
  <si>
    <t>SHP-268849</t>
  </si>
  <si>
    <t>ORD-268835</t>
  </si>
  <si>
    <t>C.S. C/H. Raudales Malpaso</t>
  </si>
  <si>
    <t>CSSSA006765</t>
  </si>
  <si>
    <t>SHP-268834</t>
  </si>
  <si>
    <t>ORD-268904</t>
  </si>
  <si>
    <t>C.E.S.S.A. Ixhuatán</t>
  </si>
  <si>
    <t>CSSSA020193</t>
  </si>
  <si>
    <t>SHP-268903</t>
  </si>
  <si>
    <t>ORD-268901</t>
  </si>
  <si>
    <t>C.S. C/H. Copainalá</t>
  </si>
  <si>
    <t>CSSSA001322</t>
  </si>
  <si>
    <t>SHP-268900</t>
  </si>
  <si>
    <t>ORD-268851</t>
  </si>
  <si>
    <t>C.S. C/H. Tecpatan</t>
  </si>
  <si>
    <t>CSSSA006695</t>
  </si>
  <si>
    <t>SHP-268850</t>
  </si>
  <si>
    <t>ORD-268975</t>
  </si>
  <si>
    <t>C.S. C/H. Pueblo Nuevo Solistahuacán</t>
  </si>
  <si>
    <t>CSSSA005341</t>
  </si>
  <si>
    <t>SHP-268974</t>
  </si>
  <si>
    <t>ORD-268931</t>
  </si>
  <si>
    <t>CONCEPCION MOLINA ALEMAN</t>
  </si>
  <si>
    <t>C.E.S.S.A. Belisario Domínguez</t>
  </si>
  <si>
    <t>CSSSA018583</t>
  </si>
  <si>
    <t>SHP-268930</t>
  </si>
  <si>
    <t>REQ-11701</t>
  </si>
  <si>
    <t>010.000.3607.0073U5E0102U013 2025</t>
  </si>
  <si>
    <t>IMBB-07-02-2025-07092514-U013</t>
  </si>
  <si>
    <t>1255439981</t>
  </si>
  <si>
    <t>73U5E0102</t>
  </si>
  <si>
    <t>REQ-10627</t>
  </si>
  <si>
    <t>010.000.2463.002502126U013 2025</t>
  </si>
  <si>
    <t>IMBB-07-02-2025-07034553-U013</t>
  </si>
  <si>
    <t>1966459273</t>
  </si>
  <si>
    <t>010.000.2463.00</t>
  </si>
  <si>
    <t>Ambroxol. Solución Cada 100 ml contienen: Clorhidrato de ambroxol 300 mg Envase con 120 ml y dosificador.</t>
  </si>
  <si>
    <t>2502126</t>
  </si>
  <si>
    <t>010.000.3609.00P25M729U013 2025</t>
  </si>
  <si>
    <t>P25M729</t>
  </si>
  <si>
    <t>REQ-12697</t>
  </si>
  <si>
    <t>060.550.0453250532U013 2025</t>
  </si>
  <si>
    <t>IMBB-07-02-2025-07124388-U013</t>
  </si>
  <si>
    <t>2260664373</t>
  </si>
  <si>
    <t>060.550.0453</t>
  </si>
  <si>
    <t>Jeringas. De plástico sin aguja con pivote tipo luer lock estériles y desechables. Capacidad: 20 ml  Escala graduada en ml Divisiones de 5.0 y subdivisiones de 1.0. Envase con 100 piezas excepto las 20 ml que es de 50.</t>
  </si>
  <si>
    <t>250532</t>
  </si>
  <si>
    <t>ORD-256228</t>
  </si>
  <si>
    <t>010.000.3623.000984F24U013 2025</t>
  </si>
  <si>
    <t>Jurisdicción III - Comitan</t>
  </si>
  <si>
    <t>CSSSA017242</t>
  </si>
  <si>
    <t>SHP-256227</t>
  </si>
  <si>
    <t>0984F24</t>
  </si>
  <si>
    <t>REQ-11015</t>
  </si>
  <si>
    <t>010.000.5383.00E555024U013 2025</t>
  </si>
  <si>
    <t>IMB-07-02-2025-07054071-U013</t>
  </si>
  <si>
    <t>3959217634</t>
  </si>
  <si>
    <t>IB/0326/2025</t>
  </si>
  <si>
    <t>NUCITEC, S.A. DE C.V.</t>
  </si>
  <si>
    <t>NUC990310RN5</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</si>
  <si>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</si>
  <si>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</si>
  <si>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E555024</t>
  </si>
  <si>
    <t>ORD-256242</t>
  </si>
  <si>
    <t>REQ-10112</t>
  </si>
  <si>
    <t>010.000.1006.0015840IMSS BIENESTAR 2024</t>
  </si>
  <si>
    <t>IMB-07-01-2024-07133641-ASF</t>
  </si>
  <si>
    <t>2398784329</t>
  </si>
  <si>
    <t>LA-E115-2022-MED-INSABI-018-2023/2024</t>
  </si>
  <si>
    <t>SHP-256241</t>
  </si>
  <si>
    <t>010.000.1006.00</t>
  </si>
  <si>
    <t>Calcio. Comprimido Efervescente Cada comprimido contiene: Lactato gluconato de calcio 2.94 g. Carbonato de calcio 300 mg. equivalente a 500 mg de calcio ionizable. Envase con 12 comprimidos.</t>
  </si>
  <si>
    <t>15840</t>
  </si>
  <si>
    <t>010.000.3615.00Y25E524U013 2025</t>
  </si>
  <si>
    <t>989380716</t>
  </si>
  <si>
    <t>Y25E524</t>
  </si>
  <si>
    <t>010.000.2144.00SI24379IMSS BIENESTAR 2024 COMPRA ESTATAL</t>
  </si>
  <si>
    <t>RDC.16</t>
  </si>
  <si>
    <t>010.000.2144.00</t>
  </si>
  <si>
    <t>Loratadina. Tableta o gragea. Cada tableta o gragea contienen: Loratadina 10 mg. Envase con 20 tabletas o grageas.</t>
  </si>
  <si>
    <t>SI24379</t>
  </si>
  <si>
    <t>ORD-271456</t>
  </si>
  <si>
    <t>010.000.2188.002410120IMSS BIENESTAR 2024 COMPRA ESTATAL</t>
  </si>
  <si>
    <t>SHP-271455</t>
  </si>
  <si>
    <t>010.000.2188.00</t>
  </si>
  <si>
    <t>Ipratropio-salbutamol. Solución Cada ampolleta contiene: Bromuro de ipratropio monohidratado equivalente a 0.500 mg de bromuro de ipratropio. Sulfato de salbutamol equivalente a 2.500 mg de salbutamol. Envase con 10 ampolletas de 2.5 ml.</t>
  </si>
  <si>
    <t>2410120</t>
  </si>
  <si>
    <t>REQ-10702</t>
  </si>
  <si>
    <t>010.000.0109.002502739U013 2025</t>
  </si>
  <si>
    <t>IMBB-07-02-2025-07034396-U013</t>
  </si>
  <si>
    <t>3418616053</t>
  </si>
  <si>
    <t>IB/0232/2025</t>
  </si>
  <si>
    <t>LABORATORIOS ALPHARMA, S.A. DE C.V.</t>
  </si>
  <si>
    <t>LAL690421KQ0</t>
  </si>
  <si>
    <t>010.000.0109.00</t>
  </si>
  <si>
    <t>Metamizol sodico. Solucion inyectable cada ampolleta contiene: metamizol sódico 1 g. envase con 3 ampolletas con 2 ml.</t>
  </si>
  <si>
    <t>2502739</t>
  </si>
  <si>
    <t>ORD-256201</t>
  </si>
  <si>
    <t>SHP-256200</t>
  </si>
  <si>
    <t>ORD-243381</t>
  </si>
  <si>
    <t>SHP-243380</t>
  </si>
  <si>
    <t>010.000.5165.00U25M037U013 2025</t>
  </si>
  <si>
    <t>U25M037</t>
  </si>
  <si>
    <t>010.000.3609.00P25E737U013 2025</t>
  </si>
  <si>
    <t>3285583525</t>
  </si>
  <si>
    <t>P25E737</t>
  </si>
  <si>
    <t>ORD-243307</t>
  </si>
  <si>
    <t>010.000.0106.00LI2413IMSS BIENESTAR 2024 COMPRA ESTATAL</t>
  </si>
  <si>
    <t>SHP-243306</t>
  </si>
  <si>
    <t>LI2413</t>
  </si>
  <si>
    <t>ORD-256323</t>
  </si>
  <si>
    <t>C.S.U. 02 Acapetahua</t>
  </si>
  <si>
    <t>CSSSA000086</t>
  </si>
  <si>
    <t>SHP-256322</t>
  </si>
  <si>
    <t>REQ-11592</t>
  </si>
  <si>
    <t>060.189.0015250506U013 2025</t>
  </si>
  <si>
    <t>IMBB-07-02-2025-07082368-U013</t>
  </si>
  <si>
    <t>1813777540</t>
  </si>
  <si>
    <t>IB/0902/2025</t>
  </si>
  <si>
    <t>250506</t>
  </si>
  <si>
    <t>060.166.42534331572U013 2025</t>
  </si>
  <si>
    <t>4331572</t>
  </si>
  <si>
    <t>ORD-253082</t>
  </si>
  <si>
    <t>010.000.5187.004D611IMSS BIENESTAR 2024 COMPRA ESTATAL</t>
  </si>
  <si>
    <t>RDC.40</t>
  </si>
  <si>
    <t>SHP-253081</t>
  </si>
  <si>
    <t>4D611</t>
  </si>
  <si>
    <t>REQ-10786</t>
  </si>
  <si>
    <t>010.000.3604.00P25F729U013 2025</t>
  </si>
  <si>
    <t>IMB-07-02-2025-07054026-U013</t>
  </si>
  <si>
    <t>292907581</t>
  </si>
  <si>
    <t>010.000.3604.00</t>
  </si>
  <si>
    <t>Glucosa. Solución Inyectable al 10% Cada 100 ml contienen: Glucosa anhidra o glucosa 10 g ó Glucosa monohidratada equivalente a 10.0 g de glucosa Envase con 500 ml. Contiene: Glucosa 50.0 g</t>
  </si>
  <si>
    <t>P25F729</t>
  </si>
  <si>
    <t>ORD-243260</t>
  </si>
  <si>
    <t>010.000.3622.000103A23IMSS BIENESTAR 2024 COMPRA ESTATAL</t>
  </si>
  <si>
    <t>SHP-243259</t>
  </si>
  <si>
    <t>0103A23</t>
  </si>
  <si>
    <t>ORD-243378</t>
  </si>
  <si>
    <t>SHP-243377</t>
  </si>
  <si>
    <t>ORD-225602</t>
  </si>
  <si>
    <t>SHP-225602</t>
  </si>
  <si>
    <t>ORD-225545</t>
  </si>
  <si>
    <t>SHP-225545</t>
  </si>
  <si>
    <t>REQ-10738</t>
  </si>
  <si>
    <t>010.000.2308.00R24T89U013 2025</t>
  </si>
  <si>
    <t>IMB-07-02-2025-07054007-U013</t>
  </si>
  <si>
    <t>292901890</t>
  </si>
  <si>
    <t>010.000.2308.00</t>
  </si>
  <si>
    <t>Furosemida. Solución Inyectable. Cada ampolleta contiene: Furosemida 20 mg Envase con 5 ampolletas de 2 ml.</t>
  </si>
  <si>
    <t>R24T89</t>
  </si>
  <si>
    <t>REQ-11009</t>
  </si>
  <si>
    <t>010.000.1956.0125F523U013 2025</t>
  </si>
  <si>
    <t>ZIMB-07-01-2025-07003295-U013</t>
  </si>
  <si>
    <t>2478723316</t>
  </si>
  <si>
    <t>010.000.1956.01</t>
  </si>
  <si>
    <t>Amikacina. Solución Inyectable Cada ampolleta o frasco ámpula contiene: Sulfato de amikacina equivalente a 500 mg de amikacina. Envase con 2 ampolletas o frasco ámpula con 2 ml.</t>
  </si>
  <si>
    <t>25F523</t>
  </si>
  <si>
    <t>ORD-256261</t>
  </si>
  <si>
    <t>SHP-256260</t>
  </si>
  <si>
    <t>REQ-10750</t>
  </si>
  <si>
    <t>IMB-07-02-2025-07053985-U013</t>
  </si>
  <si>
    <t>292901865</t>
  </si>
  <si>
    <t>REQ-13596</t>
  </si>
  <si>
    <t>010.000.1701.0024474U013 2025</t>
  </si>
  <si>
    <t>IMBB-07-02-2025-07189124-U013</t>
  </si>
  <si>
    <t>2819649054</t>
  </si>
  <si>
    <t>IB/1550/2025</t>
  </si>
  <si>
    <t>24474</t>
  </si>
  <si>
    <t>REQ-13648</t>
  </si>
  <si>
    <t>010.000.1703.0024464U013 2025</t>
  </si>
  <si>
    <t>IMBB-07-02-2025-07189126-U013</t>
  </si>
  <si>
    <t>3113296930</t>
  </si>
  <si>
    <t>IB/2808/2025</t>
  </si>
  <si>
    <t>010.000.1703.00</t>
  </si>
  <si>
    <t>Sulfato ferroso. Tableta Cada Tableta contiene: Sulfato ferroso desecado aproximadamente 200 mg equivalente a 60.27 mg de hierro elemental. Envase con 30 Tabletas.</t>
  </si>
  <si>
    <t>24464</t>
  </si>
  <si>
    <t>ORD-243350</t>
  </si>
  <si>
    <t>060.066.00393A423023IMSS BIENESTAR 2024</t>
  </si>
  <si>
    <t>SHP-243349</t>
  </si>
  <si>
    <t>3A423023</t>
  </si>
  <si>
    <t>REQ-10859</t>
  </si>
  <si>
    <t>010.000.1224.0050237U013 2025</t>
  </si>
  <si>
    <t>IMBB-07-02-2025-07034467-U013</t>
  </si>
  <si>
    <t>895353051</t>
  </si>
  <si>
    <t>IB/0266/2025</t>
  </si>
  <si>
    <t>010.000.1224.00</t>
  </si>
  <si>
    <t>Aluminio y magnesio. Suspensión Oral Cada 100 ml contienen: Hidróxido de aluminio 3.7 g Hidróxido de magnesio 4.0 g o trisilicato de magnesio: 8.9 g Envase con 240 ml y dosificador.</t>
  </si>
  <si>
    <t>50237</t>
  </si>
  <si>
    <t>ORD-243277</t>
  </si>
  <si>
    <t>SHP-243276</t>
  </si>
  <si>
    <t>ORD-243295</t>
  </si>
  <si>
    <t>REQ-9970</t>
  </si>
  <si>
    <t>010.000.2301.000924137COMPRA ESTATAL</t>
  </si>
  <si>
    <t>PCE-041-24</t>
  </si>
  <si>
    <t>SF-RF-VG1230-5784-3</t>
  </si>
  <si>
    <t>SHP-243294</t>
  </si>
  <si>
    <t>010.000.2301.00</t>
  </si>
  <si>
    <t>Hidroclorotiazida. Tableta Cada Tableta contiene: Hidroclorotiazida 25 mg Envase con 20 Tabletas.</t>
  </si>
  <si>
    <t>0924137</t>
  </si>
  <si>
    <t>ORD-243241</t>
  </si>
  <si>
    <t>Jennyfer Méndez Pérez</t>
  </si>
  <si>
    <t>REQ-10657</t>
  </si>
  <si>
    <t>010.000.5359.001951124IMSS BIENESTAR 2024 COMPRA ESTATAL</t>
  </si>
  <si>
    <t>PCDF-049-24</t>
  </si>
  <si>
    <t>0490001</t>
  </si>
  <si>
    <t>U.S.M. San Agustin</t>
  </si>
  <si>
    <t>CSSSA009162</t>
  </si>
  <si>
    <t>SHP-243240</t>
  </si>
  <si>
    <t>010.000.5359.00</t>
  </si>
  <si>
    <t>Valproato de magnesio. Tableta de Liberación Prolongada. Cada tableta contiene: Valproato de magnesio 600 mg Envase con 30 tabletas.</t>
  </si>
  <si>
    <t>1951124</t>
  </si>
  <si>
    <t>ORD-225607</t>
  </si>
  <si>
    <t>ED-20624004</t>
  </si>
  <si>
    <t>C.S.R. 01 Lelenchig</t>
  </si>
  <si>
    <t>CSSSA008725</t>
  </si>
  <si>
    <t>SHP-225607</t>
  </si>
  <si>
    <t>ORD-256152</t>
  </si>
  <si>
    <t>Jurisdicción IV - Villaflores</t>
  </si>
  <si>
    <t>CSSSA008112</t>
  </si>
  <si>
    <t>SHP-256151</t>
  </si>
  <si>
    <t>ORD-256130</t>
  </si>
  <si>
    <t>SHP-256129</t>
  </si>
  <si>
    <t>ORD-256124</t>
  </si>
  <si>
    <t>SHP-256123</t>
  </si>
  <si>
    <t>ORD-256135</t>
  </si>
  <si>
    <t>SHP-256134</t>
  </si>
  <si>
    <t>ORD-256272</t>
  </si>
  <si>
    <t>SHP-256271</t>
  </si>
  <si>
    <t>ORD-253048</t>
  </si>
  <si>
    <t>SHP-253047</t>
  </si>
  <si>
    <t>ORD-253062</t>
  </si>
  <si>
    <t>SHP-253061</t>
  </si>
  <si>
    <t>ORD-252999</t>
  </si>
  <si>
    <t>REQ-9631</t>
  </si>
  <si>
    <t>010.000.0104.00EMX0742IMSS BIENESTAR 2024</t>
  </si>
  <si>
    <t>CIMB-07-01-2024-0701080781-ASF</t>
  </si>
  <si>
    <t>3482693720</t>
  </si>
  <si>
    <t>LA-ADQ-I174AYO-IB172-2023</t>
  </si>
  <si>
    <t>SHP-252998</t>
  </si>
  <si>
    <t>EMX0742</t>
  </si>
  <si>
    <t>ORD-253005</t>
  </si>
  <si>
    <t>SHP-253004</t>
  </si>
  <si>
    <t>ORD-253023</t>
  </si>
  <si>
    <t>SHP-253022</t>
  </si>
  <si>
    <t>ORD-253075</t>
  </si>
  <si>
    <t>REQ-10210</t>
  </si>
  <si>
    <t>060.345.425720240608IMSS BIENESTAR SERVICIO INTEGRAL 2025</t>
  </si>
  <si>
    <t>IB-CE047AYO946-SMI-06-25</t>
  </si>
  <si>
    <t>001-25</t>
  </si>
  <si>
    <t>INNOVACIÓN MÉDICA Y TECNOLOGÍAS PARA LA SALUD MX, S.A. DE C.V</t>
  </si>
  <si>
    <t>IMT210429QV5</t>
  </si>
  <si>
    <t>SHP-253074</t>
  </si>
  <si>
    <t>IMSS BIENESTAR SERVICIO INTEGRAL 2025</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</si>
  <si>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</si>
  <si>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</si>
  <si>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20240608</t>
  </si>
  <si>
    <t>REQ-11477</t>
  </si>
  <si>
    <t>060.456.03835022003U013 2025</t>
  </si>
  <si>
    <t>IMBB-07-02-2025-07076765-U013</t>
  </si>
  <si>
    <t>3868715783</t>
  </si>
  <si>
    <t>IB/1098/2025</t>
  </si>
  <si>
    <t>060.456.0383</t>
  </si>
  <si>
    <t>Guantes. Para exploración ambidiestro estériles. De látex desechables. Tamaños: Chico. Envase con 100 piezas.</t>
  </si>
  <si>
    <t>5022003</t>
  </si>
  <si>
    <t>ORD-271358</t>
  </si>
  <si>
    <t>SHP-271357</t>
  </si>
  <si>
    <t>ORD-271440</t>
  </si>
  <si>
    <t>REQ-10093</t>
  </si>
  <si>
    <t>060.231.0666812100125IMSS BIENESTAR 2024 COMPRA ESTATAL</t>
  </si>
  <si>
    <t>PCDF-045-24</t>
  </si>
  <si>
    <t>8634</t>
  </si>
  <si>
    <t>SUMFA S.A. DE C.V.</t>
  </si>
  <si>
    <t>SUM160826KM6</t>
  </si>
  <si>
    <t>SHP-271439</t>
  </si>
  <si>
    <t>812100125</t>
  </si>
  <si>
    <t>REQ-10708</t>
  </si>
  <si>
    <t>010.000.4255.005010295U013 2025</t>
  </si>
  <si>
    <t>IMBB-07-02-2025-07034672-U013</t>
  </si>
  <si>
    <t>25-1603</t>
  </si>
  <si>
    <t>010.000.4255.00</t>
  </si>
  <si>
    <t>Ciprofloxacino. Cápsula o Tableta Cada Cápsula o Tableta contiene: Clorhidrato de ciprofloxacino monohidratado equivalente a 250 mg de ciprofloxacino. Envase con 8 Cápsulas o Tabletas.</t>
  </si>
  <si>
    <t>5010295</t>
  </si>
  <si>
    <t>REQ-12037</t>
  </si>
  <si>
    <t>010.000.3603.00V25A037U013 2025</t>
  </si>
  <si>
    <t>IMBB-07-02-2025-07100001-U013</t>
  </si>
  <si>
    <t>1509186328</t>
  </si>
  <si>
    <t>V25A037</t>
  </si>
  <si>
    <t>ORD-271355</t>
  </si>
  <si>
    <t>010.000.1344.0041889COMPRA ESTATAL</t>
  </si>
  <si>
    <t>AIE/0024/24</t>
  </si>
  <si>
    <t>SHP-271354</t>
  </si>
  <si>
    <t>41889</t>
  </si>
  <si>
    <t>010.000.3407.00SH2405COMPRA ESTATAL</t>
  </si>
  <si>
    <t>AIE/0007/24</t>
  </si>
  <si>
    <t>SH2405</t>
  </si>
  <si>
    <t>010.000.0108.00410442COMPRA ESTATAL</t>
  </si>
  <si>
    <t>AIE/0009/24</t>
  </si>
  <si>
    <t>010.000.0108.00</t>
  </si>
  <si>
    <t>Metamizol sodico. Comprimido cada comprimido contiene: metamizol sódico 500 mg. envase con 10 comprimidos.</t>
  </si>
  <si>
    <t>410442</t>
  </si>
  <si>
    <t>010.000.3417.004LM512AIMSS BIENESTAR 2024 COMPRA ESTATAL</t>
  </si>
  <si>
    <t>RDC.68</t>
  </si>
  <si>
    <t>010.000.3417.00</t>
  </si>
  <si>
    <t>Diclofenaco. Cápsula o gragea de liberación prolongada. Cada gragea contiene: Diclofenaco sódico 100 mg Envase con 20 Cápsulas o Grageas.</t>
  </si>
  <si>
    <t>4LM512A</t>
  </si>
  <si>
    <t>ORD-268928</t>
  </si>
  <si>
    <t>REQ-10212</t>
  </si>
  <si>
    <t>060.550.25902204369201IMSS BIENESTAR 2024 COMPRA ESTATAL</t>
  </si>
  <si>
    <t>PCDF-050-24</t>
  </si>
  <si>
    <t>PCDF-050/SALUD/015</t>
  </si>
  <si>
    <t>SHP-268927</t>
  </si>
  <si>
    <t>060.550.2590</t>
  </si>
  <si>
    <t>Jeringas. De plástico grado médico de 1 ml de capacidad escala graduada en ml con divisiones de 0.1 y subdivisiones de 0.01 ml y aguja de 22 G y 32 mm de longitud estéril y desechable. Pieza.</t>
  </si>
  <si>
    <t>2204369201</t>
  </si>
  <si>
    <t>ORD-268899</t>
  </si>
  <si>
    <t>SHP-268898</t>
  </si>
  <si>
    <t>ORD-256205</t>
  </si>
  <si>
    <t>SHP-256204</t>
  </si>
  <si>
    <t>REQ-10634</t>
  </si>
  <si>
    <t>010.000.1345.002502051U013 2025</t>
  </si>
  <si>
    <t>IMBB-07-02-2025-07034478-U013</t>
  </si>
  <si>
    <t>985628352</t>
  </si>
  <si>
    <t>2502051</t>
  </si>
  <si>
    <t>ORD-268844</t>
  </si>
  <si>
    <t>REQ-11856</t>
  </si>
  <si>
    <t>010.000.0104.005040525U013 2025</t>
  </si>
  <si>
    <t>IMBB-07-02-2025-07086517-U013</t>
  </si>
  <si>
    <t>4236280236</t>
  </si>
  <si>
    <t>IB/1629/2025</t>
  </si>
  <si>
    <t>SHP-268843</t>
  </si>
  <si>
    <t>5040525</t>
  </si>
  <si>
    <t>ORD-268837</t>
  </si>
  <si>
    <t>SHP-268836</t>
  </si>
  <si>
    <t>ORD-268867</t>
  </si>
  <si>
    <t>SHP-268866</t>
  </si>
  <si>
    <t>ORD-268823</t>
  </si>
  <si>
    <t>SHP-268822</t>
  </si>
  <si>
    <t>ORD-268888</t>
  </si>
  <si>
    <t>SHP-268887</t>
  </si>
  <si>
    <t>ORD-268909</t>
  </si>
  <si>
    <t>SHP-268908</t>
  </si>
  <si>
    <t>ORD-268910</t>
  </si>
  <si>
    <t>SHP-268909</t>
  </si>
  <si>
    <t>ORD-268970</t>
  </si>
  <si>
    <t>SHP-268969</t>
  </si>
  <si>
    <t>REQ-13406</t>
  </si>
  <si>
    <t>010.000.3610.00P25Y022U013 2025</t>
  </si>
  <si>
    <t>IMBB-07-02-2025-07191645-U013</t>
  </si>
  <si>
    <t>4202864671</t>
  </si>
  <si>
    <t>P25Y022</t>
  </si>
  <si>
    <t>REQ-13530</t>
  </si>
  <si>
    <t>060.550.0446250642U013 2025</t>
  </si>
  <si>
    <t>IMBB-07-02-2025-07192047-U013</t>
  </si>
  <si>
    <t>1153088083</t>
  </si>
  <si>
    <t>060.550.0446</t>
  </si>
  <si>
    <t>Jeringas. De plástico sin aguja con pivote tipo luer lock estériles y desechables. Capacidad: 10 ml Escala graduada en ml Divisiones de 1.0 y subdivisiones de 0.2. Envase con 100 piezas excepto las 20 ml que es de 50.</t>
  </si>
  <si>
    <t>250642</t>
  </si>
  <si>
    <t>ORD-225573</t>
  </si>
  <si>
    <t>010.000.2154.00S24M981IMSS BIENESTAR 2024</t>
  </si>
  <si>
    <t>BIMB-07-01-2024-07001017-ASF</t>
  </si>
  <si>
    <t>3287446863</t>
  </si>
  <si>
    <t>IB/499/2024/D</t>
  </si>
  <si>
    <t>SHP-225573</t>
  </si>
  <si>
    <t>010.000.2154.00</t>
  </si>
  <si>
    <t>Enoxaparina. Solución Inyectable Cada jeringa contiene: Enoxaparina sódica 40 mg Envase con 2 Jeringas. de 0.4 ml.</t>
  </si>
  <si>
    <t>S24M981</t>
  </si>
  <si>
    <t>AAV</t>
  </si>
  <si>
    <t>010.000.3615.00V24L18GIMSS BIENESTAR 2024 COMPRA ESTATAL</t>
  </si>
  <si>
    <t>04900029</t>
  </si>
  <si>
    <t>V24L18G</t>
  </si>
  <si>
    <t>REQ-13515</t>
  </si>
  <si>
    <t>010.000.2540.002507529U013 2025</t>
  </si>
  <si>
    <t>IMBB-07-02-2025-07189149-U013</t>
  </si>
  <si>
    <t>2060400191</t>
  </si>
  <si>
    <t>IB/1660/2025</t>
  </si>
  <si>
    <t>010.000.2540.00</t>
  </si>
  <si>
    <t>Telmisartán. Tableta Cada Tableta contiene: Telmisartán 40 mg Envase con 30 Tabletas.</t>
  </si>
  <si>
    <t>2507529</t>
  </si>
  <si>
    <t>010.000.1224.00020225IMSS BIENESTAR 2024 COMPRA ESTATAL</t>
  </si>
  <si>
    <t>020225</t>
  </si>
  <si>
    <t>ORD-243248</t>
  </si>
  <si>
    <t>SHP-243247</t>
  </si>
  <si>
    <t>ORD-243397</t>
  </si>
  <si>
    <t>C.S.U. 01 Unión Juárez</t>
  </si>
  <si>
    <t>CSSSA007820</t>
  </si>
  <si>
    <t>SHP-243396</t>
  </si>
  <si>
    <t>060.532.016720230522IMSS BIENESTAR 2024 COMPRA ESTATAL</t>
  </si>
  <si>
    <t>PCDF-052/SALUD/007</t>
  </si>
  <si>
    <t>20230522</t>
  </si>
  <si>
    <t>REQ-13301</t>
  </si>
  <si>
    <t>060.189.0254WB012AU013 2025</t>
  </si>
  <si>
    <t>IMBB-07-02-2025-07165626-U013</t>
  </si>
  <si>
    <t>257260722</t>
  </si>
  <si>
    <t>IB/2364/2025</t>
  </si>
  <si>
    <t>PDM CONSORCIO DENTAL, S.A. DE C.V.</t>
  </si>
  <si>
    <t>PCD1410079D4</t>
  </si>
  <si>
    <t>060.189.0254</t>
  </si>
  <si>
    <t>Cepillos. Para pulido de amalgamas y profilaxis. De cerdas blancas en forma de copa. Para contra-ángulo. Pieza.</t>
  </si>
  <si>
    <t>WB012A</t>
  </si>
  <si>
    <t>010.000.1939.00J24N020IMSS BIENESTAR 2024 COMPRA ESTATAL</t>
  </si>
  <si>
    <t>J24N020</t>
  </si>
  <si>
    <t>REQ-11225</t>
  </si>
  <si>
    <t>010.000.2471.00AJ25003U013 2025</t>
  </si>
  <si>
    <t>BIMB-07-01-2025-07032925-U013</t>
  </si>
  <si>
    <t>Z0396</t>
  </si>
  <si>
    <t>IB/264/2024/D</t>
  </si>
  <si>
    <t>ZERIFAR, S.A. DE C.V.</t>
  </si>
  <si>
    <t>ZER980805915</t>
  </si>
  <si>
    <t>010.000.2471.00</t>
  </si>
  <si>
    <t>Clorfenamina compuesta. Tableta. Cada tableta contiene Paracetamol 500 mg Cafeína 25 mg Clorhidrato de fenilefrina 5 mg Maleato de clorfenamina 4 mg Envase con 10 Tabletas.</t>
  </si>
  <si>
    <t>AJ25003</t>
  </si>
  <si>
    <t>ORD-271357</t>
  </si>
  <si>
    <t>H.B.C.Pijijiapan</t>
  </si>
  <si>
    <t>CSSSA018740</t>
  </si>
  <si>
    <t>SHP-271356</t>
  </si>
  <si>
    <t>REQ-10115</t>
  </si>
  <si>
    <t>060.125.0228VV40519IMSS BIENESTAR 2024 COMPRA ESTATAL</t>
  </si>
  <si>
    <t>PCDF-044-24</t>
  </si>
  <si>
    <t>OMNI-01-25</t>
  </si>
  <si>
    <t>OMNI PRODUCTOS DE CONSUMO ALOPATA S.A. DE C.V.</t>
  </si>
  <si>
    <t>OPC140710A71</t>
  </si>
  <si>
    <t>060.125.0228</t>
  </si>
  <si>
    <t>Bolsas. Para urocultivo (niño). Estéril, de plástico grado médico, forma rectangular, con capacidad de 50 ml y escala de 10, 20, 30 y 50 ml, con orificio redondo de 30 mm, área adhesiva. De 45 x 60 mm. Pieza.</t>
  </si>
  <si>
    <t>VV40519</t>
  </si>
  <si>
    <t>REQ-13549</t>
  </si>
  <si>
    <t>040.000.2106.003150725U013 2025</t>
  </si>
  <si>
    <t>IMBB-07-02-2025-07083623-U013</t>
  </si>
  <si>
    <t>3901419771</t>
  </si>
  <si>
    <t>IB/1460/2025</t>
  </si>
  <si>
    <t>PEGO, S.A. DE C.V.</t>
  </si>
  <si>
    <t>PEG860506CT9</t>
  </si>
  <si>
    <t>040.000.2106.00</t>
  </si>
  <si>
    <t>Tramadol.  Solución Inyectable Cada ampolleta contiene: Clorhidrato de Tramadol 100 mg Envase con 5 ampolletas de 2 ml.</t>
  </si>
  <si>
    <t>3150725</t>
  </si>
  <si>
    <t>ORD-243329</t>
  </si>
  <si>
    <t>SHP-243328</t>
  </si>
  <si>
    <t>REQ-11138</t>
  </si>
  <si>
    <t>010.000.5501.00B24D310U013 2025</t>
  </si>
  <si>
    <t>IMB-07-02-2025-07054074-U013</t>
  </si>
  <si>
    <t>845861394</t>
  </si>
  <si>
    <t>010.000.5501.00</t>
  </si>
  <si>
    <t>Diclofenaco. Solución inyectable. Cada ampolleta contiene: Diclofenaco sódico 75 mg Envase con 2 ampolletas con 3 ml.</t>
  </si>
  <si>
    <t>B24D310</t>
  </si>
  <si>
    <t>REQ-10957</t>
  </si>
  <si>
    <t>010.000.3610.00P25E002U013 2025</t>
  </si>
  <si>
    <t>IMB-07-02-2025-07054030-U013</t>
  </si>
  <si>
    <t>292912604</t>
  </si>
  <si>
    <t>P25E002</t>
  </si>
  <si>
    <t>ORD-225643</t>
  </si>
  <si>
    <t>010.000.1006.007200923COMPRA ESTATAL</t>
  </si>
  <si>
    <t>N1-000030</t>
  </si>
  <si>
    <t>SHP-225643</t>
  </si>
  <si>
    <t>7200923</t>
  </si>
  <si>
    <t>REQ-11338</t>
  </si>
  <si>
    <t>060.233.00522504057U013 2025</t>
  </si>
  <si>
    <t>IMBB-07-02-2025-07035113-U013</t>
  </si>
  <si>
    <t>2527325577</t>
  </si>
  <si>
    <t>IB/0296/2025</t>
  </si>
  <si>
    <t>MERKA MED DESECHABLES, S.A. de C.V.</t>
  </si>
  <si>
    <t>MMD0608153FA</t>
  </si>
  <si>
    <t>060.233.0052</t>
  </si>
  <si>
    <t>Conectores. De una vía. De plástico desechables. Tipo: Sims. Grueso. Pieza.</t>
  </si>
  <si>
    <t>2504057</t>
  </si>
  <si>
    <t>ORD-256173</t>
  </si>
  <si>
    <t>C.S.R. 01 Las Brisas</t>
  </si>
  <si>
    <t>CSSSA005032</t>
  </si>
  <si>
    <t>SHP-256172</t>
  </si>
  <si>
    <t>ORD-256312</t>
  </si>
  <si>
    <t>C.S.R. 01 Ejido la Esperanza (Zapotal)</t>
  </si>
  <si>
    <t>CSSSA005155</t>
  </si>
  <si>
    <t>SHP-256311</t>
  </si>
  <si>
    <t>ORD-256311</t>
  </si>
  <si>
    <t>C.S.R. 01 Puente Margaritas</t>
  </si>
  <si>
    <t>CSSSA018665</t>
  </si>
  <si>
    <t>SHP-256310</t>
  </si>
  <si>
    <t>ORD-256286</t>
  </si>
  <si>
    <t>C.S.R. 01 Nueva Coapa Echegaray</t>
  </si>
  <si>
    <t>CSSSA005061</t>
  </si>
  <si>
    <t>SHP-256285</t>
  </si>
  <si>
    <t>REQ-10126</t>
  </si>
  <si>
    <t>010.000.0655.0020524COMPRA ESTATAL</t>
  </si>
  <si>
    <t>PCE-043-24</t>
  </si>
  <si>
    <t>REM1341</t>
  </si>
  <si>
    <t>010.000.0655.00</t>
  </si>
  <si>
    <t>Bezafibrato. Tableta Cada Tableta contiene: Bezafibrato 200 mg Envase con 30 Tabletas.</t>
  </si>
  <si>
    <t>20524</t>
  </si>
  <si>
    <t>REQ-9475</t>
  </si>
  <si>
    <t>060.040.05432411114COMPRA ESTATAL</t>
  </si>
  <si>
    <t>PCF-041-24</t>
  </si>
  <si>
    <t>T0008665</t>
  </si>
  <si>
    <t>HELIBERTO RIVERA MENDOZA</t>
  </si>
  <si>
    <t>RIMH700513R96</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</si>
  <si>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</si>
  <si>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</si>
  <si>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2411114</t>
  </si>
  <si>
    <t>REQ-10789</t>
  </si>
  <si>
    <t>010.000.4251.00Z24N004U013 2025</t>
  </si>
  <si>
    <t>IMB-07-02-2025-07054050-U013</t>
  </si>
  <si>
    <t>292907569</t>
  </si>
  <si>
    <t>010.000.4251.00</t>
  </si>
  <si>
    <t>Vancomicina. Solución Inyectable Cada frasco ámpula con polvo contiene: Clorhidrato de vancomicina equivalente a 500 mg de vancomicina. Envase con un frasco ámpula.</t>
  </si>
  <si>
    <t>Z24N004</t>
  </si>
  <si>
    <t>REQ-13538</t>
  </si>
  <si>
    <t>010.000.1206.002504773U013 2025</t>
  </si>
  <si>
    <t>IMBB-07-02-2025-07189114-U013</t>
  </si>
  <si>
    <t>2181895112</t>
  </si>
  <si>
    <t>2504773</t>
  </si>
  <si>
    <t>ORD-268983</t>
  </si>
  <si>
    <t>REQ-10214</t>
  </si>
  <si>
    <t>060.532.0175241203COMPRA ESTATAL</t>
  </si>
  <si>
    <t>PCE-060-24</t>
  </si>
  <si>
    <t>PCE-060/SALUD/007</t>
  </si>
  <si>
    <t>H.G Ma. Ignacia Gandulfo</t>
  </si>
  <si>
    <t>CSSSA001030</t>
  </si>
  <si>
    <t>SHP-268982</t>
  </si>
  <si>
    <t>241203</t>
  </si>
  <si>
    <t>ORD-243382</t>
  </si>
  <si>
    <t>010.000.4152.01SIT24028IMSS BIENESTAR 2024 COMPRA ESTATAL</t>
  </si>
  <si>
    <t>REM1-520</t>
  </si>
  <si>
    <t>SHP-243381</t>
  </si>
  <si>
    <t>010.000.4152.01</t>
  </si>
  <si>
    <t>Sitagliptina. Comprimido Cada Comprimido contiene: Fosfato de sitagliptina monohidratada equivalente a 100 mg de sitagliptina Envase con 28 Comprimidos.</t>
  </si>
  <si>
    <t>SIT24028</t>
  </si>
  <si>
    <t>REQ-10839</t>
  </si>
  <si>
    <t>010.000.6337.0125B146V1U013 2025</t>
  </si>
  <si>
    <t>IMBB-07-02-2025-07034869-U013</t>
  </si>
  <si>
    <t>953517060</t>
  </si>
  <si>
    <t>IB/0263/2025</t>
  </si>
  <si>
    <t>LABORATORIOS SILANES, S.A. DE C.V.</t>
  </si>
  <si>
    <t>LSI8112153I7</t>
  </si>
  <si>
    <t>010.000.6337.01</t>
  </si>
  <si>
    <t>GLIMEPIRIDA. TABLETAS Cada tableta contiene Glimepirida 2 mg Envase con 30 tabletas</t>
  </si>
  <si>
    <t>25B146V1</t>
  </si>
  <si>
    <t>010.000.4241.00B24N206IMSS BIENESTAR 2024 COMPRA ESTATAL</t>
  </si>
  <si>
    <t>RDC.26</t>
  </si>
  <si>
    <t>B24N206</t>
  </si>
  <si>
    <t>REQ-10960</t>
  </si>
  <si>
    <t>010.000.3616.00P25E014U013 2025</t>
  </si>
  <si>
    <t>IMB-07-02-2025-07054033-U013</t>
  </si>
  <si>
    <t>292912588</t>
  </si>
  <si>
    <t>P25E014</t>
  </si>
  <si>
    <t>ORD-256229</t>
  </si>
  <si>
    <t>060.532.01750404M23COMPRA ESTATAL</t>
  </si>
  <si>
    <t>P1-000160</t>
  </si>
  <si>
    <t>SHP-256228</t>
  </si>
  <si>
    <t>0404M23</t>
  </si>
  <si>
    <t>010.000.1242.004091374COMPRA ESTATAL</t>
  </si>
  <si>
    <t>010.000.1242.00</t>
  </si>
  <si>
    <t>Metoclopramida. Tableta Cada Tableta contiene: Clorhidrato de metoclopramida 10 mg Envase con 20 Tabletas.</t>
  </si>
  <si>
    <t>4091374</t>
  </si>
  <si>
    <t>ORD-225601</t>
  </si>
  <si>
    <t>REQ-9736</t>
  </si>
  <si>
    <t>010.000.1903.00404164IMSS BIENESTAR 2024</t>
  </si>
  <si>
    <t>BIMB-07-01-2024-0701080868-ASF</t>
  </si>
  <si>
    <t>2848507936</t>
  </si>
  <si>
    <t>IB/203/2024/D</t>
  </si>
  <si>
    <t>SHP-225601</t>
  </si>
  <si>
    <t>010.000.1903.00</t>
  </si>
  <si>
    <t>Trimetoprima-sulfametoxazol. Comprimido o Tableta Cada Comprimido o Tableta contiene: Trimetoprima 80 mg Sulfametoxazol 400 mg Envase con 20 Comprimidos o Tabletas.</t>
  </si>
  <si>
    <t>404164</t>
  </si>
  <si>
    <t>REQ-10215</t>
  </si>
  <si>
    <t>060.088.067820240923COMPRA ESTATAL</t>
  </si>
  <si>
    <t>PCE-061-24</t>
  </si>
  <si>
    <t>PCE-061/SALUD/014</t>
  </si>
  <si>
    <t>060.088.0678</t>
  </si>
  <si>
    <t>Apósitos. Hidrocoloides para el tratamiento de heridas. Estéril. Tamaño: De 15 a 21 cm x 15 a 21 cm. Pieza.</t>
  </si>
  <si>
    <t>20240923</t>
  </si>
  <si>
    <t>ORD-243279</t>
  </si>
  <si>
    <t>REQ-8515</t>
  </si>
  <si>
    <t>010.000.1711.0024D345V1IMSS BIENESTAR 2024</t>
  </si>
  <si>
    <t>IMB-07-01-2024-07127099-ASF</t>
  </si>
  <si>
    <t>4097543862</t>
  </si>
  <si>
    <t>LA-E115-2022-MED-INSABI-058-2023/2024</t>
  </si>
  <si>
    <t>SHP-243278</t>
  </si>
  <si>
    <t>010.000.1711.00</t>
  </si>
  <si>
    <t>Ácido fólico. Tableta. Cada tableta contiene: Acido fólico 0.4 mg Envase con 90 Tabletas.</t>
  </si>
  <si>
    <t>24D345V1</t>
  </si>
  <si>
    <t>010.000.1345.004110805COMPRA ESTATAL</t>
  </si>
  <si>
    <t>4110805</t>
  </si>
  <si>
    <t>ORD-271454</t>
  </si>
  <si>
    <t>REQ-9702</t>
  </si>
  <si>
    <t>010.000.2187.00A24G667IMSS BIENESTAR 2024</t>
  </si>
  <si>
    <t>IMB-07-02-2024-0701081644-ASF</t>
  </si>
  <si>
    <t>1215297576</t>
  </si>
  <si>
    <t>LA-I-1-MED-INSABI-031-2023/2024</t>
  </si>
  <si>
    <t>SHP-271453</t>
  </si>
  <si>
    <t>010.000.2187.00</t>
  </si>
  <si>
    <t>Ipratropio. Solución Cada 100 ml contienen: Bromuro de ipratropio monohidratado equivalente a 25 mg de bromuro de ipratropio. Envase con frasco ámpula con 20 ml.</t>
  </si>
  <si>
    <t>A24G667</t>
  </si>
  <si>
    <t>REQ-10563</t>
  </si>
  <si>
    <t>060.436.005752-24U013 2025</t>
  </si>
  <si>
    <t>IMBB-07-02-2025-07035144-U013</t>
  </si>
  <si>
    <t>4040781723</t>
  </si>
  <si>
    <t>IB/0180/2025</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</si>
  <si>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</si>
  <si>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</si>
  <si>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52-24</t>
  </si>
  <si>
    <t>REQ-11339</t>
  </si>
  <si>
    <t>060.233.00112503072U013 2025</t>
  </si>
  <si>
    <t>IMBB-07-02-2025-07035112-U013</t>
  </si>
  <si>
    <t>2404292536</t>
  </si>
  <si>
    <t>060.233.0011</t>
  </si>
  <si>
    <t>Conectores. De una vía. De plástico desechables. Tipo: Sims. Delgado. Pieza.</t>
  </si>
  <si>
    <t>2503072</t>
  </si>
  <si>
    <t>REQ-12756</t>
  </si>
  <si>
    <t>010.000.2154.00S24S261U013 2025</t>
  </si>
  <si>
    <t>IMBB-07-02-2025-07119890-U013</t>
  </si>
  <si>
    <t>809700381</t>
  </si>
  <si>
    <t>IB/1471/2025</t>
  </si>
  <si>
    <t>S24S261</t>
  </si>
  <si>
    <t>ORD-268779</t>
  </si>
  <si>
    <t>REQ-8255</t>
  </si>
  <si>
    <t>060.066.00393A174012IMSS BIENESTAR 2024</t>
  </si>
  <si>
    <t>IMB-07-02-2024-07117545-ASF</t>
  </si>
  <si>
    <t>3108955108</t>
  </si>
  <si>
    <t>SHP-268778</t>
  </si>
  <si>
    <t>3A174012</t>
  </si>
  <si>
    <t>REQ-11060</t>
  </si>
  <si>
    <t>010.000.0891.002503074U013 2025</t>
  </si>
  <si>
    <t>IMBB-07-02-2025-07062060-U013</t>
  </si>
  <si>
    <t>1317792125</t>
  </si>
  <si>
    <t>010.000.0891.00</t>
  </si>
  <si>
    <t>Miconazol. Crema Cada gramo contiene: Nitrato de miconazol 20 mg Envase con 20 g.</t>
  </si>
  <si>
    <t>2503074</t>
  </si>
  <si>
    <t>REQ-13467</t>
  </si>
  <si>
    <t>010.000.5621.00H23035U013 2025</t>
  </si>
  <si>
    <t>IMBB-07-02-2025-07189183-U013</t>
  </si>
  <si>
    <t>4223917104</t>
  </si>
  <si>
    <t>IB/0654/2025</t>
  </si>
  <si>
    <t>BOEHRINGER INGELHEIM MEXICO, S.A. DE C.V.</t>
  </si>
  <si>
    <t>BIM0711148Q0</t>
  </si>
  <si>
    <t>010.000.5621.00</t>
  </si>
  <si>
    <t>Linagliptina. Tableta. Cada tableta contiene: Linagliptina 5 mg. Envase con 30 tabletas.</t>
  </si>
  <si>
    <t>H23035</t>
  </si>
  <si>
    <t>ORD-225644</t>
  </si>
  <si>
    <t>REQ-9424</t>
  </si>
  <si>
    <t>010.000.0104.002402825COMPRA ESTATAL</t>
  </si>
  <si>
    <t>PCF-036-24</t>
  </si>
  <si>
    <t>P1-000146</t>
  </si>
  <si>
    <t>C.S.R. 01 Chalam</t>
  </si>
  <si>
    <t>CSSSA003714</t>
  </si>
  <si>
    <t>SHP-225644</t>
  </si>
  <si>
    <t>2402825</t>
  </si>
  <si>
    <t>010.000.2707.00SJ2437COMPRA ESTATAL</t>
  </si>
  <si>
    <t>AIE/0006/24</t>
  </si>
  <si>
    <t>010.000.2707.00</t>
  </si>
  <si>
    <t>Ácido ascórbico. Tableta Cada Tableta contiene: Ácido ascórbico 100 mg Envase con 20 Tabletas.</t>
  </si>
  <si>
    <t>SJ2437</t>
  </si>
  <si>
    <t>REQ-10524</t>
  </si>
  <si>
    <t>010.000.2431.0020214U013 2025</t>
  </si>
  <si>
    <t>IMB-07-01-2025-07032924-U013</t>
  </si>
  <si>
    <t>620452961</t>
  </si>
  <si>
    <t>LA-I-1-MED-INSABI-018-2023/2024</t>
  </si>
  <si>
    <t>20214</t>
  </si>
  <si>
    <t>ORD-256319</t>
  </si>
  <si>
    <t>REQ-8728</t>
  </si>
  <si>
    <t>010.000.0525.0014768IMSS BIENESTAR 2024</t>
  </si>
  <si>
    <t>IMB-07-01-2024-07109249-ASF</t>
  </si>
  <si>
    <t>560445281</t>
  </si>
  <si>
    <t>SHP-256318</t>
  </si>
  <si>
    <t>010.000.0525.00</t>
  </si>
  <si>
    <t>Fenitoína. Tableta o Cápsula Cada Tableta o Cápsula contiene: Fenitoína sódica 100 mg Envase con 50 Tabletas o Cápsulas.</t>
  </si>
  <si>
    <t>14768</t>
  </si>
  <si>
    <t>REQ-10724</t>
  </si>
  <si>
    <t>010.000.1924.00I24Y085U013 2025</t>
  </si>
  <si>
    <t>IMB-07-02-2025-07053994-U013</t>
  </si>
  <si>
    <t>292901946</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</si>
  <si>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</si>
  <si>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</si>
  <si>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I24Y085</t>
  </si>
  <si>
    <t>REQ-10868</t>
  </si>
  <si>
    <t>010.000.0872.0020073U013 2025</t>
  </si>
  <si>
    <t>IMB-07-02-2025-07053404-U013</t>
  </si>
  <si>
    <t>155611</t>
  </si>
  <si>
    <t>010.000.0872.00</t>
  </si>
  <si>
    <t>Clioquinol. Crema Cada g contiene: Clioquinol 30 mg Envase con 20 g.</t>
  </si>
  <si>
    <t>20073</t>
  </si>
  <si>
    <t>REQ-11547</t>
  </si>
  <si>
    <t>010.000.5621.00G79595U013 2025</t>
  </si>
  <si>
    <t>IMBB-07-02-2025-07081086-U013</t>
  </si>
  <si>
    <t>2203155492</t>
  </si>
  <si>
    <t>G79595</t>
  </si>
  <si>
    <t>060.189.0106240605COMPRA ESTATAL</t>
  </si>
  <si>
    <t>240605</t>
  </si>
  <si>
    <t>REQ-12246</t>
  </si>
  <si>
    <t>010.000.5106.01DRF02361AU013 2025</t>
  </si>
  <si>
    <t>IMBB-07-02-2025-07096243-U013</t>
  </si>
  <si>
    <t>1110819709</t>
  </si>
  <si>
    <t>IB/2347/2025</t>
  </si>
  <si>
    <t>MSN LIFE CARE, S.A. DE C.V.</t>
  </si>
  <si>
    <t>MLC170629IG2</t>
  </si>
  <si>
    <t>010.000.5106.01</t>
  </si>
  <si>
    <t>ATORVASTATINA. TABLETA Cada tableta contiene: Atorvastatina cálcica trihidratada equivalente a  20 mg de atorvastatina. Envase con 30 tabletas.</t>
  </si>
  <si>
    <t>DRF02361A</t>
  </si>
  <si>
    <t>REQ-10098</t>
  </si>
  <si>
    <t>060.231.0658BTEXGR30122024IMSS BIENESTAR 2024 COMPRA ESTATAL</t>
  </si>
  <si>
    <t>PCDF-046-24</t>
  </si>
  <si>
    <t>REM1-594</t>
  </si>
  <si>
    <t>060.231.0658</t>
  </si>
  <si>
    <t>Bata quirúrgica con puños ajustables y refuerzo en mangas y pecho. Tela no tejida de polipropileno impermeable a la penetración de líquidos y fluidos ; antiestática y resistente a la tensión. Estéril y desechable. Tamaño: Extragrande Pieza.</t>
  </si>
  <si>
    <t>BTEXGR30122024</t>
  </si>
  <si>
    <t>REQ-11340</t>
  </si>
  <si>
    <t>060.168.00772504101U013 2025</t>
  </si>
  <si>
    <t>IMBB-07-02-2025-07035058-U013</t>
  </si>
  <si>
    <t>3057415575</t>
  </si>
  <si>
    <t>060.168.0077</t>
  </si>
  <si>
    <t>Sondas. Para aspirar secreciones. De plástico con válvula de control. Estéril y desechable. Tamaño: Adulto. Longitud: 55 cm Calibre: 18 Fr Diámetro Externo: 6.0 mm. Pieza.</t>
  </si>
  <si>
    <t>2504101</t>
  </si>
  <si>
    <t>010.000.1911.0050028COMPRA ESTATAL</t>
  </si>
  <si>
    <t>022</t>
  </si>
  <si>
    <t>010.000.1911.00</t>
  </si>
  <si>
    <t>Nitrofurantoína. Cápsula Cada Cápsula contiene: Nitrofurantoína 100 mg Envase con 40 Cápsulas.</t>
  </si>
  <si>
    <t>50028</t>
  </si>
  <si>
    <t>010.000.3620.00B24U593IMSS BIENESTAR 2024 COMPRA ESTATAL</t>
  </si>
  <si>
    <t>CVS-25-029</t>
  </si>
  <si>
    <t>010.000.3620.00</t>
  </si>
  <si>
    <t>Gluconato de calcio. Solución Inyectable Cada ampolleta contiene: Gluconato de calcio 1 g equivalente a 0.093 g de calcio ionizable. Envase con 50 ampolletas de 10 ml</t>
  </si>
  <si>
    <t>B24U593</t>
  </si>
  <si>
    <t>REQ-10991</t>
  </si>
  <si>
    <t>060.166.42205037321U013 2025</t>
  </si>
  <si>
    <t>IMBB-07-02-2025-07035037-U013</t>
  </si>
  <si>
    <t>01-270</t>
  </si>
  <si>
    <t>060.166.4220</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</si>
  <si>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</si>
  <si>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5037321</t>
  </si>
  <si>
    <t>010.000.1701.0014363COMPRA ESTATAL</t>
  </si>
  <si>
    <t>14363</t>
  </si>
  <si>
    <t>ORD-243297</t>
  </si>
  <si>
    <t>SHP-243296</t>
  </si>
  <si>
    <t>REQ-11489</t>
  </si>
  <si>
    <t>010.000.3606.0073U4K0233IMSS BIENESTAR 2024</t>
  </si>
  <si>
    <t>IMB-07-01-2024-07056422-ASF</t>
  </si>
  <si>
    <t>3560117628</t>
  </si>
  <si>
    <t>LA-I-1-MED-INSABI-036-2023/2024</t>
  </si>
  <si>
    <t>010.000.3606.00</t>
  </si>
  <si>
    <t>Glucosa. Solución Inyectable al 50 % Cada 100 ml contienen: Glucosa anhidra o glucosa 50 g Agua Inyectable 100 ml o Glucosa monohidratada equivalente a 50 g de glucosa Envase con 250 ml. Contiene: Glucosa 125 g</t>
  </si>
  <si>
    <t>73U4K0233</t>
  </si>
  <si>
    <t>010.000.3610.00P25Y003U013 2025</t>
  </si>
  <si>
    <t>3907372347</t>
  </si>
  <si>
    <t>P25Y003</t>
  </si>
  <si>
    <t>REQ-13696</t>
  </si>
  <si>
    <t>010.000.5392.0073FV5H021U013 2025</t>
  </si>
  <si>
    <t>IMBB-07-02-2025-07191847-U013</t>
  </si>
  <si>
    <t>1840389609</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</si>
  <si>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</si>
  <si>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</si>
  <si>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73FV5H021</t>
  </si>
  <si>
    <t>ORD-225629</t>
  </si>
  <si>
    <t>REQ-6663</t>
  </si>
  <si>
    <t>060.456.06312302154INSABI 2023</t>
  </si>
  <si>
    <t>U00-07-02-2023-073443-ASF</t>
  </si>
  <si>
    <t>4130457028</t>
  </si>
  <si>
    <t>SHP-225629</t>
  </si>
  <si>
    <t>060.456.0631</t>
  </si>
  <si>
    <t>Guantes. de nitrilo o polibutadine-acrylonitrilo libre de látex ambidiestro desechable estéril. Tamaño: Mediano Par.</t>
  </si>
  <si>
    <t>2302154</t>
  </si>
  <si>
    <t>060.456.06492302153INSABI 2023</t>
  </si>
  <si>
    <t>U00-07-02-2022-071186-ASF</t>
  </si>
  <si>
    <t>3508224755</t>
  </si>
  <si>
    <t>AA-197-2021-MEDBT-INSABI-22-2022</t>
  </si>
  <si>
    <t>060.456.0649</t>
  </si>
  <si>
    <t>Guantes. de nitrilo o polibutadine-acrylonitrilo libre de látex ambidiestro desechable estéril. Tamaño: Grande Par.</t>
  </si>
  <si>
    <t>2302153</t>
  </si>
  <si>
    <t>ORD-256268</t>
  </si>
  <si>
    <t>SHP-256267</t>
  </si>
  <si>
    <t>ORD-256253</t>
  </si>
  <si>
    <t>SHP-256252</t>
  </si>
  <si>
    <t>ORD-256214</t>
  </si>
  <si>
    <t>SHP-256213</t>
  </si>
  <si>
    <t>ORD-256258</t>
  </si>
  <si>
    <t>SHP-256257</t>
  </si>
  <si>
    <t>ORD-256237</t>
  </si>
  <si>
    <t>SHP-256236</t>
  </si>
  <si>
    <t>ORD-256292</t>
  </si>
  <si>
    <t>SHP-256291</t>
  </si>
  <si>
    <t>ORD-256282</t>
  </si>
  <si>
    <t>SHP-256281</t>
  </si>
  <si>
    <t>ORD-256308</t>
  </si>
  <si>
    <t>C.S.R. 01 Barra De Zacapulco</t>
  </si>
  <si>
    <t>CSSSA000091</t>
  </si>
  <si>
    <t>SHP-256307</t>
  </si>
  <si>
    <t>010.000.2133.004HN297AIMSS BIENESTAR 2024 COMPRA ESTATAL</t>
  </si>
  <si>
    <t>00007</t>
  </si>
  <si>
    <t>010.000.2133.00</t>
  </si>
  <si>
    <t>Clindamicina. Cápsula Cada Cápsula contiene: Clorhidrato de clindamicina equivalente a 300 mg de clindamicina. Envase con 16 Cápsulas.</t>
  </si>
  <si>
    <t>4HN297A</t>
  </si>
  <si>
    <t>ORD-256132</t>
  </si>
  <si>
    <t>SHP-256131</t>
  </si>
  <si>
    <t>ORD-256126</t>
  </si>
  <si>
    <t>SHP-256125</t>
  </si>
  <si>
    <t>ORD-256139</t>
  </si>
  <si>
    <t>SHP-256138</t>
  </si>
  <si>
    <t>ORD-256156</t>
  </si>
  <si>
    <t>SHP-256155</t>
  </si>
  <si>
    <t>ORD-271356</t>
  </si>
  <si>
    <t>REQ-8684</t>
  </si>
  <si>
    <t>010.000.1706.00312006IMSS BIENESTAR 2024</t>
  </si>
  <si>
    <t>IMB-07-01-2024-07123680-ASF</t>
  </si>
  <si>
    <t>1735954172</t>
  </si>
  <si>
    <t>LA-E115-2022-MED-INSABI-020-2023/2024</t>
  </si>
  <si>
    <t>BRULUAGSA, S.A. DE C.V.</t>
  </si>
  <si>
    <t>BRU0004257J9</t>
  </si>
  <si>
    <t>SHP-271355</t>
  </si>
  <si>
    <t>010.000.1706.00</t>
  </si>
  <si>
    <t>Ácido fólico. Tableta. Cada tableta contiene: Ácido fólico 5 mg Envase con 20 Tabletas.</t>
  </si>
  <si>
    <t>312006</t>
  </si>
  <si>
    <t>010.000.5720.02BFS24033IMSS BIENESTAR 2024 COMPRA ESTATAL</t>
  </si>
  <si>
    <t>CVS-25-018</t>
  </si>
  <si>
    <t>010.000.5720.02</t>
  </si>
  <si>
    <t>Paracetamol SOLUCIÓN INYECTABLE  Cada frasco contiene:  Paracetamol  500 mg. Envase con diez frascos con 50 ml.</t>
  </si>
  <si>
    <t>BFS24033</t>
  </si>
  <si>
    <t>ORD-271499</t>
  </si>
  <si>
    <t>Recepción</t>
  </si>
  <si>
    <t>010.000.5941.005010018COMPRA ESTATAL</t>
  </si>
  <si>
    <t>UNIDAD MÉDICA MOVIL 7</t>
  </si>
  <si>
    <t>UMM7</t>
  </si>
  <si>
    <t>SHP-271498</t>
  </si>
  <si>
    <t>5010018</t>
  </si>
  <si>
    <t>010.000.1223.0041871COMPRA ESTATAL</t>
  </si>
  <si>
    <t>SF-RF-VG1230-5784-21</t>
  </si>
  <si>
    <t>010.000.1223.00</t>
  </si>
  <si>
    <t>Aluminio y magnesio. Tableta Masticable Cada Tableta Masticable contiene: Hidróxido de aluminio 200 mg Hidróxido de magnesio 200 mg o trisilicato de magnesio: 447.3 mg Envase con 50 Tabletas Masticables.</t>
  </si>
  <si>
    <t>41871</t>
  </si>
  <si>
    <t>REQ-10509</t>
  </si>
  <si>
    <t>010.000.1711.0024F357V1U013 2025</t>
  </si>
  <si>
    <t>IMBB-07-02-2025-07034491-U013</t>
  </si>
  <si>
    <t>3372093327</t>
  </si>
  <si>
    <t>24F357V1</t>
  </si>
  <si>
    <t>REQ-10525</t>
  </si>
  <si>
    <t>010.000.2247.0050001U013 2025</t>
  </si>
  <si>
    <t>IMBB-07-02-2025-07034538-U013</t>
  </si>
  <si>
    <t>1639406774</t>
  </si>
  <si>
    <t>010.000.2247.00</t>
  </si>
  <si>
    <t>Cinitaprida. Comprimido Cada Comprimido contiene Bitartrato de cinitaprida equivalente a 1 mg de cinitaprida. Envase con 25 Comprimidos.</t>
  </si>
  <si>
    <t>50001</t>
  </si>
  <si>
    <t>ORD-271384</t>
  </si>
  <si>
    <t>SHP-271383</t>
  </si>
  <si>
    <t>REQ-11554</t>
  </si>
  <si>
    <t>010.000.2710.00M552020U013 2025</t>
  </si>
  <si>
    <t>IMBB-07-02-2025-07081812-U013</t>
  </si>
  <si>
    <t>4070591806</t>
  </si>
  <si>
    <t>IB/1187/2025</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</si>
  <si>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</si>
  <si>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</si>
  <si>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M552020</t>
  </si>
  <si>
    <t>REQ-11812</t>
  </si>
  <si>
    <t>010.000.0891.0021725U013 2025</t>
  </si>
  <si>
    <t>IMBB-07-02-2025-07090265-U013</t>
  </si>
  <si>
    <t>1146814305</t>
  </si>
  <si>
    <t>21725</t>
  </si>
  <si>
    <t>ORD-271432</t>
  </si>
  <si>
    <t>UNIDAD MÉDICA MOVIL 4</t>
  </si>
  <si>
    <t>UMM4</t>
  </si>
  <si>
    <t>SHP-271431</t>
  </si>
  <si>
    <t>REQ-13365</t>
  </si>
  <si>
    <t>060.231.0609210NEX2425U013 2025</t>
  </si>
  <si>
    <t>IMBB-07-02-2025-07116244-U013</t>
  </si>
  <si>
    <t>261523506</t>
  </si>
  <si>
    <t>IB/2349/2025</t>
  </si>
  <si>
    <t>NEXTMED, S.A. DE C.V.</t>
  </si>
  <si>
    <t>NEX130913CI4</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</si>
  <si>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</si>
  <si>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</si>
  <si>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210NEX2425</t>
  </si>
  <si>
    <t>REQ-13433</t>
  </si>
  <si>
    <t>010.000.2144.00252425U013 2025</t>
  </si>
  <si>
    <t>IMBB-07-02-2025-07189139-U013</t>
  </si>
  <si>
    <t>2712604183</t>
  </si>
  <si>
    <t>IB/1760/2025</t>
  </si>
  <si>
    <t>PRODUCTOS MAVER, S.A. DE C.V.</t>
  </si>
  <si>
    <t>PMA930216GB2</t>
  </si>
  <si>
    <t>252425</t>
  </si>
  <si>
    <t>REQ-13493</t>
  </si>
  <si>
    <t>060.166.42793076025CU013 2025</t>
  </si>
  <si>
    <t>IMBB-07-02-2025-07191962-U013</t>
  </si>
  <si>
    <t>83459265</t>
  </si>
  <si>
    <t>IB/1667/2025</t>
  </si>
  <si>
    <t>060.166.4279</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</si>
  <si>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</si>
  <si>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3076025C</t>
  </si>
  <si>
    <t>ORD-271443</t>
  </si>
  <si>
    <t>060.908.0924231013COMPRA ESTATAL</t>
  </si>
  <si>
    <t>CUBRI-043-2</t>
  </si>
  <si>
    <t>SHP-271442</t>
  </si>
  <si>
    <t>060.908.0924</t>
  </si>
  <si>
    <t>Tubos. Tubo para aspirador. De hule látex color ámbar. Diámetro interno 6.3 mm espesor de pared 3.77 mm. Envase con 10 m.</t>
  </si>
  <si>
    <t>231013</t>
  </si>
  <si>
    <t>REQ-8459</t>
  </si>
  <si>
    <t>010.000.0406.00DH00324IMSS BIENESTAR 2024</t>
  </si>
  <si>
    <t>IMB-07-02-2024-07146427-ASF</t>
  </si>
  <si>
    <t>513126085</t>
  </si>
  <si>
    <t>LA-E115-2022-MED-INSABI-084-2023/2024</t>
  </si>
  <si>
    <t>SAGO MEDICAL SERVICE, S.A. DE C.V.</t>
  </si>
  <si>
    <t>SMS200716NZ4</t>
  </si>
  <si>
    <t>010.000.0406.00</t>
  </si>
  <si>
    <t>Difenhidramina. Solución inyectable. Cada frasco ámpula contiene: Clorhidrato de difenhidramina 100 mg. Envase con frasco ámpula de 10 ml.</t>
  </si>
  <si>
    <t>DH00324</t>
  </si>
  <si>
    <t>REQ-10918</t>
  </si>
  <si>
    <t>010.000.1042.0025B354V1U013 2025</t>
  </si>
  <si>
    <t>IMBB-07-02-2025-07034456-U013</t>
  </si>
  <si>
    <t>3593876164</t>
  </si>
  <si>
    <t>010.000.1042.00</t>
  </si>
  <si>
    <t>Glibenclamida. Tableta Cada tableta contiene: Glibenclamida 5 mg. Envase con 50 tabletas.</t>
  </si>
  <si>
    <t>25B354V1</t>
  </si>
  <si>
    <t>ORD-268748</t>
  </si>
  <si>
    <t>SHP-268747</t>
  </si>
  <si>
    <t>ORD-268737</t>
  </si>
  <si>
    <t>REQ-12963</t>
  </si>
  <si>
    <t>010.000.5383.00250453U013 2025</t>
  </si>
  <si>
    <t>IMBB-07-02-2025-07100156-U013</t>
  </si>
  <si>
    <t>3404879113</t>
  </si>
  <si>
    <t>IB/2421/2025</t>
  </si>
  <si>
    <t>SOLAR MEDICAL S.A. DE C.V.</t>
  </si>
  <si>
    <t>SME100621IG8</t>
  </si>
  <si>
    <t>SHP-268736</t>
  </si>
  <si>
    <t>250453</t>
  </si>
  <si>
    <t>ORD-268859</t>
  </si>
  <si>
    <t>010.000.5165.002501004COMPRA ESTATAL</t>
  </si>
  <si>
    <t>SHP-268858</t>
  </si>
  <si>
    <t>2501004</t>
  </si>
  <si>
    <t>ORD-268932</t>
  </si>
  <si>
    <t>SHP-268931</t>
  </si>
  <si>
    <t>ORD-268736</t>
  </si>
  <si>
    <t>SHP-268735</t>
  </si>
  <si>
    <t>ORD-268852</t>
  </si>
  <si>
    <t>SHP-268851</t>
  </si>
  <si>
    <t>ORD-268913</t>
  </si>
  <si>
    <t>SHP-268912</t>
  </si>
  <si>
    <t>ORD-268979</t>
  </si>
  <si>
    <t>SHP-268978</t>
  </si>
  <si>
    <t>ORD-268832</t>
  </si>
  <si>
    <t>SHP-268831</t>
  </si>
  <si>
    <t>ORD-268907</t>
  </si>
  <si>
    <t>SHP-268906</t>
  </si>
  <si>
    <t>ORD-268860</t>
  </si>
  <si>
    <t>SHP-268859</t>
  </si>
  <si>
    <t>ORD-225625</t>
  </si>
  <si>
    <t>010.000.0244.00N023G24IMSS BIENESTAR 2024</t>
  </si>
  <si>
    <t>CIMB-07-01-2024-0701080787-ASF</t>
  </si>
  <si>
    <t>1765827397</t>
  </si>
  <si>
    <t>LA-ADQ-I174AYO-IB086-2023</t>
  </si>
  <si>
    <t>ALT-010926-BY0</t>
  </si>
  <si>
    <t>SHP-225625</t>
  </si>
  <si>
    <t>010.000.0244.00</t>
  </si>
  <si>
    <t>PROPOFOL. EMULSION INYECTABLE Cada ampolleta o frasco ámpula contiene: Propofol 200 mg. En solución con aceite de soya, fosfátido de huevo o lecitina de huevo y glicerol. Envase con 5 ampolletas o frascos ámpula de 20 mL.</t>
  </si>
  <si>
    <t>N023G24</t>
  </si>
  <si>
    <t>ORD-268920</t>
  </si>
  <si>
    <t>010.000.6134.0176102MCU013 2025</t>
  </si>
  <si>
    <t>IMBB-07-02-2025-07119899-U013</t>
  </si>
  <si>
    <t>2690373371</t>
  </si>
  <si>
    <t>IB/0623/2025</t>
  </si>
  <si>
    <t>ALM84030811A</t>
  </si>
  <si>
    <t>SHP-268919</t>
  </si>
  <si>
    <t>010.000.6134.01</t>
  </si>
  <si>
    <t>Fenofibrato. Capsula. Cada cápsula contiene: Fenofibrato 200 mg Envase con 28 cápsulas.</t>
  </si>
  <si>
    <t>76102MC</t>
  </si>
  <si>
    <t>REQ-11017</t>
  </si>
  <si>
    <t>010.000.1098.00L465023U013 2025</t>
  </si>
  <si>
    <t>IMB-07-02-2025-07053984-U013</t>
  </si>
  <si>
    <t>1754821327</t>
  </si>
  <si>
    <t>010.000.1098.00</t>
  </si>
  <si>
    <t>Vitaminas A C y D. Solución. Cada ml contiene: Palmitato de Retinol 7000 a 9000 UI. Ácido ascórbico 80 a 125 mg. Colecalciferol 1400 a 1800 UI. Envase con 15 ml.</t>
  </si>
  <si>
    <t>L465023</t>
  </si>
  <si>
    <t>ORD-225645</t>
  </si>
  <si>
    <t>REQ-9440</t>
  </si>
  <si>
    <t>010.000.1098.003580724IMSS BIENESTAR 2024</t>
  </si>
  <si>
    <t>BIMB-07-01-2024-0701004609-ASF</t>
  </si>
  <si>
    <t>490326565</t>
  </si>
  <si>
    <t>IB/212/2024/D</t>
  </si>
  <si>
    <t>SHP-225645</t>
  </si>
  <si>
    <t>3580724</t>
  </si>
  <si>
    <t>ORD-243365</t>
  </si>
  <si>
    <t>SHP-243364</t>
  </si>
  <si>
    <t>REQ-8711</t>
  </si>
  <si>
    <t>010.000.5383.00240453IMSS BIENESTAR 2024</t>
  </si>
  <si>
    <t>BIMB-07-01-2024-07000028-ASF</t>
  </si>
  <si>
    <t>1768664382</t>
  </si>
  <si>
    <t>IB/210/2024/D</t>
  </si>
  <si>
    <t>OPERADORA Y COMERCIALIZADORA POLLUELATA, S.A DE C.V</t>
  </si>
  <si>
    <t>OCP150618UN7</t>
  </si>
  <si>
    <t>240453</t>
  </si>
  <si>
    <t>REQ-9343</t>
  </si>
  <si>
    <t>060.550.1279240211IMSS BIENESTAR 2024</t>
  </si>
  <si>
    <t>BIMB-07-01-2024-07001173-ASF</t>
  </si>
  <si>
    <t>2761377881</t>
  </si>
  <si>
    <t>060.550.1279</t>
  </si>
  <si>
    <t>Jeringas. De  plástico  grado  médico  con  pivote  tipo  luer  lock capacidad de 3 ml escala graduada en ml con divisiones de 0.5 ml y subdivisiones de 0.1 ml con aguja calibre 22 G y 32 mm de longitud. Estéril y desechable. Pieza.</t>
  </si>
  <si>
    <t>240211</t>
  </si>
  <si>
    <t>REQ-9473</t>
  </si>
  <si>
    <t>010.000.2501.003DN405AIMSS BIENESTAR 2024</t>
  </si>
  <si>
    <t>BIMB-07-01-2024-07006080-ASF</t>
  </si>
  <si>
    <t>689926488</t>
  </si>
  <si>
    <t>IB/261/2024/D</t>
  </si>
  <si>
    <t>010.000.2501.00</t>
  </si>
  <si>
    <t>ENALAPRIL. CÁPSULA O TABLETA Cada cápsula o tableta contiene: Maleato de enalapril 10 mg. Envase con 30 cápsulas o tabletas.</t>
  </si>
  <si>
    <t>3DN405A</t>
  </si>
  <si>
    <t>010.000.1095.00426043COMPRA ESTATAL</t>
  </si>
  <si>
    <t>P1-000161</t>
  </si>
  <si>
    <t>010.000.1095.00</t>
  </si>
  <si>
    <t>Calcitriol. Cápsula de Gelatina blanda Cada cápsula contiene: Calcitriol 0.25 µg. Envase con 50 cápsulas.</t>
  </si>
  <si>
    <t>426043</t>
  </si>
  <si>
    <t>ORD-225594</t>
  </si>
  <si>
    <t>WALTER ALEJANDRO DIAZ GONZALEZ</t>
  </si>
  <si>
    <t>C.S.R. 01 Microregional Cañada Grande</t>
  </si>
  <si>
    <t>CSSSA019336</t>
  </si>
  <si>
    <t>SHP-225594</t>
  </si>
  <si>
    <t>ORD-225605</t>
  </si>
  <si>
    <t>REQ-9627</t>
  </si>
  <si>
    <t>060.308.01772407-34IMSS BIENESTAR 2024</t>
  </si>
  <si>
    <t>CIMB-07-01-2024-0701081318-ASF</t>
  </si>
  <si>
    <t>861427415</t>
  </si>
  <si>
    <t>LA-ADQ-I174AYO-IB295-2023</t>
  </si>
  <si>
    <t>PROFILATEX, S.A. DE C.V</t>
  </si>
  <si>
    <t>PRO910905RS5</t>
  </si>
  <si>
    <t>C.S.R. 01 Ts'Akibiljok</t>
  </si>
  <si>
    <t>CSSSA009051</t>
  </si>
  <si>
    <t>SHP-225605</t>
  </si>
  <si>
    <t>060.308.0177</t>
  </si>
  <si>
    <t>Condón masculino. De hule látex. Envase con 100 piezas.</t>
  </si>
  <si>
    <t>2407-34</t>
  </si>
  <si>
    <t>REQ-11256</t>
  </si>
  <si>
    <t>060.088.0843202429U013 2025</t>
  </si>
  <si>
    <t>IMBB-07-02-2025-07074779-U013</t>
  </si>
  <si>
    <t>923718152</t>
  </si>
  <si>
    <t>IB/1024/2025</t>
  </si>
  <si>
    <t>SMITH &amp; NEPHEW, S.A. DE C.V.</t>
  </si>
  <si>
    <t>S&amp;N921215RG4</t>
  </si>
  <si>
    <t>060.088.0843</t>
  </si>
  <si>
    <t>Apósitos. Hidrocelular   de   poliuretano   con   adhesivo   para  el tratamiento de heridas. Estéril y desechable. Tamaños: 7.5 x 7.5 cm. Pieza.</t>
  </si>
  <si>
    <t>202429</t>
  </si>
  <si>
    <t>REQ-8720</t>
  </si>
  <si>
    <t>010.000.2129.004050811IMSS BIENESTAR 2024</t>
  </si>
  <si>
    <t>IMB-07-01-2024-07124857-ASF</t>
  </si>
  <si>
    <t>3943928250</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</si>
  <si>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</si>
  <si>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</si>
  <si>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4050811</t>
  </si>
  <si>
    <t>010.000.3608.00P25F311IMSS BIENESTAR 2024 COMPRA ESTATAL</t>
  </si>
  <si>
    <t>04900092</t>
  </si>
  <si>
    <t>P25F311</t>
  </si>
  <si>
    <t>Respuesta del Candidato (formula)</t>
  </si>
  <si>
    <t>Usan el código identificador que creaste en el ejercicio 4, busca y devuelve la descripción completa del 'Producto' correspondiente.</t>
  </si>
  <si>
    <t>Ejercicio 3</t>
  </si>
  <si>
    <t>OPERACIÓN ARITMETICA (DIVISION) SUMA/META</t>
  </si>
  <si>
    <t>Genera un código identificador único concatenando los campos Causes, Lote y Fuente de Financiamiento (usar datos de la fila 20 de BaseDatos).</t>
  </si>
  <si>
    <t>Calcula el porcentaje de cumplimiento comparando el total de piezas surtidas (Ej. 1) contra la Meta Objetivo (celda E6).</t>
  </si>
  <si>
    <t>Rango de Celdas</t>
  </si>
  <si>
    <t>Competencia</t>
  </si>
  <si>
    <t>F10</t>
  </si>
  <si>
    <t>F11</t>
  </si>
  <si>
    <t>F12</t>
  </si>
  <si>
    <t>F13</t>
  </si>
  <si>
    <t>F14</t>
  </si>
  <si>
    <t>F15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</si>
</sst>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1"/>
      <color theme="1"/>
      <name val="Calibri"/>
      <family val="2"/>
      <scheme val="minor"/>
    </font>
    <font>
      <b/>
      <sz val="11"/>
      <color rgb="FFFFFFFF"/>
      <name val="Calibri"/>
    </font>
    <font>
      <sz val="10"/>
      <color rgb="FF2C3E50"/>
      <name val="Calibri"/>
    </font>
    <font>
      <b/>
      <sz val="16"/>
      <color rgb="FFFFFFFF"/>
      <name val="Calibri"/>
    </font>
    <font>
      <i/>
      <sz val="11"/>
      <color rgb="FFE0E0E0"/>
      <name val="Calibri"/>
    </font>
    <font>
      <b/>
      <sz val="11"/>
      <color rgb="FF1B365D"/>
      <name val="Calibri"/>
    </font>
    <font>
      <b/>
      <sz val="10"/>
      <color rgb="FF2C3E50"/>
      <name val="Calibri"/>
    </font>
    <font>
      <sz val="10"/>
      <color rgb="FF2C3E50"/>
      <name val="Calibri"/>
      <family val="2"/>
    </font>
    <font>
      <b/>
      <sz val="11"/>
      <color rgb="FF1B365D"/>
      <name val="Calibri"/>
      <family val="2"/>
    </font>
    <font>
      <b/>
      <sz val="10"/>
      <color rgb="FF2C3E50"/>
      <name val="Calibri"/>
      <family val="2"/>
    </font>
    <font>
      <sz val="8"/>
      <name val="Calibri"/>
      <family val="2"/>
      <scheme val="minor"/>
    </font>
  </fonts>
  <fills count="6">
    <fill>
      <patternFill patternType="none"/>
    </fill>
    <fill>
      <patternFill patternType="gray125"/>
    </fill>
    <fill>
      <patternFill patternType="solid">
        <fgColor rgb="FF1B365D"/>
        <bgColor rgb="FF1B365D"/>
      </patternFill>
    </fill>
    <fill>
      <patternFill patternType="solid">
        <fgColor rgb="FFF0F4F8"/>
        <bgColor rgb="FFF0F4F8"/>
      </patternFill>
    </fill>
    <fill>
      <patternFill patternType="solid">
        <fgColor rgb="FFE8F5E9"/>
        <bgColor rgb="FFE8F5E9"/>
      </patternFill>
    </fill>
    <fill>
      <patternFill patternType="solid">
        <fgColor rgb="FFF9FAFC"/>
        <bgColor rgb="FFF9FAFC"/>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81C784"/>
      </left>
      <right style="thin">
        <color rgb="FF81C784"/>
      </right>
      <top style="thin">
        <color rgb="FF81C784"/>
      </top>
      <bottom style="thin">
        <color rgb="FF81C784"/>
      </bottom>
      <diagonal/>
    </border>
  </borders>
  <cellStyleXfs count="1">
    <xf numFmtId="0" fontId="0" fillId="0" borderId="0"/>
  </cellStyleXfs>
  <cellXfs count="30">
    <xf numFmtId="0" fontId="0" fillId="0" borderId="0" xfId="0"/>
    <xf numFmtId="0" fontId="5" fillId="3" borderId="1" xfId="0" applyFont="1" applyFill="1" applyBorder="1" applyAlignment="1">
      <alignment horizontal="left" vertical="center"/>
    </xf>
    <xf numFmtId="0" fontId="6" fillId="0" borderId="1" xfId="0" applyFont="1" applyBorder="1"/>
    <xf numFmtId="0" fontId="1" fillId="2" borderId="1" xfId="0" applyFont="1" applyFill="1" applyBorder="1" applyAlignment="1">
      <alignment horizontal="center" vertical="center"/>
    </xf>
    <xf numFmtId="0" fontId="6" fillId="5" borderId="1" xfId="0" applyFont="1" applyFill="1" applyBorder="1" applyAlignment="1">
      <alignment horizontal="center" vertical="center"/>
    </xf>
    <xf numFmtId="0" fontId="2" fillId="5" borderId="1" xfId="0" applyFont="1" applyFill="1" applyBorder="1" applyAlignment="1">
      <alignment horizontal="left" vertical="center"/>
    </xf>
    <xf numFmtId="0" fontId="6" fillId="0" borderId="1" xfId="0" applyFont="1" applyBorder="1" applyAlignment="1">
      <alignment horizontal="center" vertical="center"/>
    </xf>
    <xf numFmtId="0" fontId="2" fillId="0" borderId="1" xfId="0" applyFont="1" applyBorder="1" applyAlignment="1">
      <alignment horizontal="left" vertical="center"/>
    </xf>
    <xf numFmtId="0" fontId="5" fillId="0" borderId="0" xfId="0" applyFont="1"/>
    <xf numFmtId="0" fontId="2" fillId="0" borderId="0" xfId="0" applyFont="1"/>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0" fontId="0" fillId="0" borderId="0" xfId="0"/>
    <xf numFmtId="3" fontId="6"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0" fillId="0" borderId="0" xfId="0" applyNumberFormat="1" applyAlignment="1">
      <alignment horizontal="center"/>
    </xf>
    <xf numFmtId="0" fontId="2" fillId="5" borderId="1" xfId="0" applyFont="1" applyFill="1" applyBorder="1" applyAlignment="1">
      <alignment horizontal="left" vertical="center" wrapText="1"/>
    </xf>
    <xf numFmtId="0" fontId="2" fillId="0" borderId="1" xfId="0" applyFont="1" applyBorder="1" applyAlignment="1">
      <alignment horizontal="left" vertical="center" wrapText="1"/>
    </xf>
    <xf numFmtId="3" fontId="6" fillId="4" borderId="2" xfId="0" applyNumberFormat="1" applyFont="1" applyFill="1" applyBorder="1" applyAlignment="1">
      <alignment horizontal="center" vertical="center" wrapText="1"/>
    </xf>
    <xf numFmtId="10" fontId="6" fillId="4" borderId="2"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0" borderId="0" xfId="0" applyFont="1" applyBorder="1"/>
    <xf numFmtId="3" fontId="6" fillId="0" borderId="0" xfId="0" applyNumberFormat="1" applyFont="1" applyBorder="1" applyAlignment="1">
      <alignment horizontal="center" vertical="center"/>
    </xf>
    <xf numFmtId="0" fontId="7" fillId="0" borderId="1" xfId="0" applyFont="1" applyBorder="1" applyAlignment="1">
      <alignment horizontal="left" vertical="center" wrapText="1"/>
    </xf>
    <xf numFmtId="0" fontId="8" fillId="3"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0" fillId="0" borderId="0" xfId="0"/>
    <xf numFmtId="0" fontId="3" fillId="2" borderId="0" xfId="0" applyFont="1" applyFill="1" applyAlignment="1">
      <alignment horizontal="center" vertical="center"/>
    </xf>
    <xf numFmtId="0" fontId="0" fillId="0" borderId="0" xfId="0"/>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0"/>
  <sheetViews>
    <sheetView topLeftCell="A6" zoomScaleNormal="100" workbookViewId="0">
      <selection activeCell="H13" sqref="H13"/>
    </sheetView>
  </sheetViews>
  <sheetFormatPr baseColWidth="10" defaultColWidth="8.88671875" defaultRowHeight="14.4" x14ac:dyDescent="0.3"/>
  <cols>
    <col min="1" max="1" width="3" customWidth="1"/>
    <col min="2" max="2" width="12" customWidth="1"/>
    <col min="3" max="3" width="22" customWidth="1"/>
    <col min="4" max="4" width="50" customWidth="1"/>
    <col min="5" max="5" width="28" customWidth="1"/>
    <col min="6" max="6" width="32" customWidth="1"/>
  </cols>
  <sheetData>
    <row r="2" spans="2:6" ht="25.05" customHeight="1" x14ac:dyDescent="0.3">
      <c r="B2" s="27" t="s">
        <v>0</v>
      </c>
      <c r="C2" s="28"/>
      <c r="D2" s="28"/>
      <c r="E2" s="28"/>
      <c r="F2" s="28"/>
    </row>
    <row r="3" spans="2:6" ht="18" customHeight="1" x14ac:dyDescent="0.3">
      <c r="B3" s="29" t="s">
        <v>1</v>
      </c>
      <c r="C3" s="28"/>
      <c r="D3" s="28"/>
      <c r="E3" s="28"/>
      <c r="F3" s="28"/>
    </row>
    <row r="5" spans="2:6" x14ac:dyDescent="0.3">
      <c r="D5" s="1" t="s">
        <v>2</v>
      </c>
      <c r="E5" s="24" t="s">
        <v>2186</v>
      </c>
    </row>
    <row r="6" spans="2:6" x14ac:dyDescent="0.3">
      <c r="D6" s="2" t="s">
        <v>3</v>
      </c>
      <c r="E6" s="13">
        <v>300000</v>
      </c>
    </row>
    <row r="7" spans="2:6" s="12" customFormat="1" x14ac:dyDescent="0.3">
      <c r="D7" s="21"/>
      <c r="E7" s="22"/>
    </row>
    <row r="9" spans="2:6" ht="24" customHeight="1" x14ac:dyDescent="0.3">
      <c r="B9" s="3" t="s">
        <v>4</v>
      </c>
      <c r="C9" s="3" t="s">
        <v>5</v>
      </c>
      <c r="D9" s="3" t="s">
        <v>6</v>
      </c>
      <c r="E9" s="3" t="s">
        <v>7</v>
      </c>
      <c r="F9" s="3" t="s">
        <v>2184</v>
      </c>
    </row>
    <row r="10" spans="2:6" ht="36.6" customHeight="1" x14ac:dyDescent="0.3">
      <c r="B10" s="4">
        <v>1</v>
      </c>
      <c r="C10" s="4" t="s">
        <v>8</v>
      </c>
      <c r="D10" s="16" t="s">
        <v>9</v>
      </c>
      <c r="E10" s="5" t="s">
        <v>10</v>
      </c>
      <c r="F10" s="18">
        <f>SUM(BaseDatos!U2:U500)</f>
        <v>253156</v>
      </c>
    </row>
    <row r="11" spans="2:6" ht="36.6" customHeight="1" x14ac:dyDescent="0.3">
      <c r="B11" s="6">
        <v>2</v>
      </c>
      <c r="C11" s="6" t="s">
        <v>11</v>
      </c>
      <c r="D11" s="17" t="s">
        <v>12</v>
      </c>
      <c r="E11" s="7" t="s">
        <v>13</v>
      </c>
      <c r="F11" s="18">
        <f>AVERAGE(BaseDatos!U2:U500)</f>
        <v>507.32665330661325</v>
      </c>
    </row>
    <row r="12" spans="2:6" ht="36.6" customHeight="1" x14ac:dyDescent="0.3">
      <c r="B12" s="4">
        <v>3</v>
      </c>
      <c r="C12" s="25" t="s">
        <v>2187</v>
      </c>
      <c r="D12" s="16" t="s">
        <v>2189</v>
      </c>
      <c r="E12" s="5" t="s">
        <v>14</v>
      </c>
      <c r="F12" s="19">
        <f>F10/E6</f>
        <v>0.84385333333333334</v>
      </c>
    </row>
    <row r="13" spans="2:6" ht="36.6" customHeight="1" x14ac:dyDescent="0.3">
      <c r="B13" s="6">
        <v>4</v>
      </c>
      <c r="C13" s="6" t="s">
        <v>15</v>
      </c>
      <c r="D13" s="23" t="s">
        <v>2188</v>
      </c>
      <c r="E13" s="7" t="s">
        <v>16</v>
      </c>
      <c r="F13" s="20" t="str">
        <f>_xlfn.CONCAT(BaseDatos!Q20,BaseDatos!S20,BaseDatos!P20)</f>
        <v>010.000.3610.00P24T023IMSS BIENESTAR 2024</v>
      </c>
    </row>
    <row r="14" spans="2:6" ht="36.6" customHeight="1" x14ac:dyDescent="0.3">
      <c r="B14" s="4">
        <v>5</v>
      </c>
      <c r="C14" s="4" t="s">
        <v>17</v>
      </c>
      <c r="D14" s="16" t="s">
        <v>2185</v>
      </c>
      <c r="E14" s="5" t="s">
        <v>18</v>
      </c>
      <c r="F14" s="20" t="str">
        <f>VLOOKUP(F13,BaseDatos!F1:R500,13,0)</f>
        <v>Cloruro de sodio. Solución Inyectable al 0.9%. Cada 100 ml contienen: Cloruro de sodio 0.9 g Agua Inyectable 100 ml Envase con 1 000 ml. Contiene: Sodio 154 mEq. Cloruro 154 mEq.</v>
      </c>
    </row>
    <row r="15" spans="2:6" ht="36.6" customHeight="1" x14ac:dyDescent="0.3">
      <c r="B15" s="6">
        <v>6</v>
      </c>
      <c r="C15" s="6" t="s">
        <v>19</v>
      </c>
      <c r="D15" s="17" t="s">
        <v>20</v>
      </c>
      <c r="E15" s="7" t="s">
        <v>21</v>
      </c>
      <c r="F15" s="18">
        <f>SUMIF(BaseDatos!C2:C500,BaseDatos!C2,BaseDatos!U2:U500)</f>
        <v>32974</v>
      </c>
    </row>
    <row r="17" spans="2:2" x14ac:dyDescent="0.3">
      <c r="B17" s="8" t="s">
        <v>22</v>
      </c>
    </row>
    <row r="18" spans="2:2" x14ac:dyDescent="0.3">
      <c r="B18" s="9" t="s">
        <v>23</v>
      </c>
    </row>
    <row r="19" spans="2:2" x14ac:dyDescent="0.3">
      <c r="B19" s="9" t="s">
        <v>24</v>
      </c>
    </row>
    <row r="20" spans="2:2" x14ac:dyDescent="0.3">
      <c r="B20" s="9" t="s">
        <v>25</v>
      </c>
    </row>
  </sheetData>
  <mergeCells count="2">
    <mergeCell ref="B2:F2"/>
    <mergeCell ref="B3:F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00"/>
  <sheetViews>
    <sheetView topLeftCell="N1" workbookViewId="0">
      <selection activeCell="R20" sqref="R20"/>
    </sheetView>
  </sheetViews>
  <sheetFormatPr baseColWidth="10" defaultColWidth="8.88671875" defaultRowHeight="14.4" x14ac:dyDescent="0.3"/>
  <cols>
    <col min="1" max="1" width="13" customWidth="1"/>
    <col min="2" max="2" width="18" customWidth="1"/>
    <col min="3" max="3" width="42.44140625" customWidth="1"/>
    <col min="4" max="5" width="12" customWidth="1"/>
    <col min="6" max="6" width="41" customWidth="1"/>
    <col min="7" max="7" width="32" customWidth="1"/>
    <col min="8" max="8" width="19" customWidth="1"/>
    <col min="9" max="9" width="43" customWidth="1"/>
    <col min="10" max="10" width="42" customWidth="1"/>
    <col min="11" max="11" width="21" customWidth="1"/>
    <col min="12" max="12" width="34" customWidth="1"/>
    <col min="13" max="13" width="54" customWidth="1"/>
    <col min="14" max="14" width="14" customWidth="1"/>
    <col min="15" max="15" width="13" customWidth="1"/>
    <col min="16" max="16" width="27" customWidth="1"/>
    <col min="17" max="17" width="18" customWidth="1"/>
    <col min="18" max="18" width="77" customWidth="1"/>
    <col min="19" max="19" width="12" customWidth="1"/>
    <col min="20" max="20" width="13" customWidth="1"/>
    <col min="21" max="21" width="19" customWidth="1"/>
    <col min="22" max="22" width="18" customWidth="1"/>
    <col min="23" max="23" width="12" customWidth="1"/>
    <col min="24" max="24" width="13" customWidth="1"/>
    <col min="25" max="26" width="12" customWidth="1"/>
    <col min="27" max="27" width="18" customWidth="1"/>
  </cols>
  <sheetData>
    <row r="1" spans="1:27" x14ac:dyDescent="0.3">
      <c r="A1" s="3" t="s">
        <v>26</v>
      </c>
      <c r="B1" s="3" t="s">
        <v>27</v>
      </c>
      <c r="C1" s="3" t="s">
        <v>28</v>
      </c>
      <c r="D1" s="3" t="s">
        <v>29</v>
      </c>
      <c r="E1" s="3" t="s">
        <v>30</v>
      </c>
      <c r="F1" s="3" t="s">
        <v>31</v>
      </c>
      <c r="G1" s="3" t="s">
        <v>32</v>
      </c>
      <c r="H1" s="3" t="s">
        <v>33</v>
      </c>
      <c r="I1" s="3" t="s">
        <v>34</v>
      </c>
      <c r="J1" s="3" t="s">
        <v>35</v>
      </c>
      <c r="K1" s="3" t="s">
        <v>36</v>
      </c>
      <c r="L1" s="3" t="s">
        <v>37</v>
      </c>
      <c r="M1" s="3" t="s">
        <v>38</v>
      </c>
      <c r="N1" s="3" t="s">
        <v>39</v>
      </c>
      <c r="O1" s="3" t="s">
        <v>40</v>
      </c>
      <c r="P1" s="3" t="s">
        <v>41</v>
      </c>
      <c r="Q1" s="3" t="s">
        <v>42</v>
      </c>
      <c r="R1" s="3" t="s">
        <v>43</v>
      </c>
      <c r="S1" s="3" t="s">
        <v>44</v>
      </c>
      <c r="T1" s="3" t="s">
        <v>45</v>
      </c>
      <c r="U1" s="3" t="s">
        <v>46</v>
      </c>
      <c r="V1" s="3" t="s">
        <v>47</v>
      </c>
      <c r="W1" s="3" t="s">
        <v>48</v>
      </c>
      <c r="X1" s="3" t="s">
        <v>49</v>
      </c>
      <c r="Y1" s="3" t="s">
        <v>50</v>
      </c>
      <c r="Z1" s="3" t="s">
        <v>51</v>
      </c>
      <c r="AA1" s="3" t="s">
        <v>52</v>
      </c>
    </row>
    <row r="2" spans="1:27" x14ac:dyDescent="0.3">
      <c r="A2" s="7" t="s">
        <v>53</v>
      </c>
      <c r="B2" s="14">
        <v>45918</v>
      </c>
      <c r="C2" s="7" t="s">
        <v>54</v>
      </c>
      <c r="D2" s="7" t="s">
        <v>55</v>
      </c>
      <c r="E2" s="7" t="s">
        <v>56</v>
      </c>
      <c r="F2" s="7" t="s">
        <v>57</v>
      </c>
      <c r="G2" s="7" t="s">
        <v>58</v>
      </c>
      <c r="H2" s="7" t="s">
        <v>59</v>
      </c>
      <c r="I2" s="7" t="s">
        <v>60</v>
      </c>
      <c r="J2" s="7" t="s">
        <v>61</v>
      </c>
      <c r="K2" s="7" t="s">
        <v>62</v>
      </c>
      <c r="L2" s="7" t="s">
        <v>63</v>
      </c>
      <c r="M2" s="7" t="s">
        <v>64</v>
      </c>
      <c r="N2" s="7" t="s">
        <v>65</v>
      </c>
      <c r="O2" s="7" t="s">
        <v>66</v>
      </c>
      <c r="P2" s="7" t="s">
        <v>67</v>
      </c>
      <c r="Q2" s="7" t="s">
        <v>68</v>
      </c>
      <c r="R2" s="7" t="s">
        <v>91</v>
      </c>
      <c r="S2" s="7" t="s">
        <v>69</v>
      </c>
      <c r="T2" s="14">
        <v>47054</v>
      </c>
      <c r="U2" s="10">
        <v>5000</v>
      </c>
      <c r="V2" s="11">
        <v>6.95</v>
      </c>
      <c r="W2" s="7" t="s">
        <v>70</v>
      </c>
      <c r="X2" s="7" t="s">
        <v>71</v>
      </c>
      <c r="Y2" s="10">
        <v>1</v>
      </c>
      <c r="Z2" s="10">
        <v>1</v>
      </c>
      <c r="AA2" s="10">
        <v>1</v>
      </c>
    </row>
    <row r="3" spans="1:27" x14ac:dyDescent="0.3">
      <c r="A3" s="7" t="s">
        <v>72</v>
      </c>
      <c r="B3" s="14">
        <v>45931</v>
      </c>
      <c r="C3" s="7" t="s">
        <v>73</v>
      </c>
      <c r="D3" s="7" t="s">
        <v>55</v>
      </c>
      <c r="E3" s="7" t="s">
        <v>74</v>
      </c>
      <c r="F3" s="7" t="s">
        <v>75</v>
      </c>
      <c r="G3" s="7" t="s">
        <v>76</v>
      </c>
      <c r="H3" s="7" t="s">
        <v>77</v>
      </c>
      <c r="I3" s="7" t="s">
        <v>78</v>
      </c>
      <c r="J3" s="7" t="s">
        <v>79</v>
      </c>
      <c r="K3" s="7" t="s">
        <v>80</v>
      </c>
      <c r="L3" s="7" t="s">
        <v>63</v>
      </c>
      <c r="M3" s="7" t="s">
        <v>64</v>
      </c>
      <c r="N3" s="7" t="s">
        <v>65</v>
      </c>
      <c r="O3" s="7" t="s">
        <v>81</v>
      </c>
      <c r="P3" s="7" t="s">
        <v>82</v>
      </c>
      <c r="Q3" s="7" t="s">
        <v>83</v>
      </c>
      <c r="R3" s="7" t="s">
        <v>92</v>
      </c>
      <c r="S3" s="7" t="s">
        <v>84</v>
      </c>
      <c r="T3" s="14">
        <v>46384</v>
      </c>
      <c r="U3" s="10">
        <v>3452</v>
      </c>
      <c r="V3" s="11">
        <v>6.65</v>
      </c>
      <c r="W3" s="7" t="s">
        <v>70</v>
      </c>
      <c r="X3" s="7" t="s">
        <v>85</v>
      </c>
      <c r="Y3" s="10">
        <v>1</v>
      </c>
      <c r="Z3" s="10">
        <v>0</v>
      </c>
      <c r="AA3" s="10">
        <v>0</v>
      </c>
    </row>
    <row r="4" spans="1:27" x14ac:dyDescent="0.3">
      <c r="A4" s="7" t="s">
        <v>86</v>
      </c>
      <c r="B4" s="14">
        <v>45931</v>
      </c>
      <c r="C4" s="7" t="s">
        <v>93</v>
      </c>
      <c r="D4" s="7" t="s">
        <v>55</v>
      </c>
      <c r="E4" s="7" t="s">
        <v>74</v>
      </c>
      <c r="F4" s="7" t="s">
        <v>75</v>
      </c>
      <c r="G4" s="7" t="s">
        <v>76</v>
      </c>
      <c r="H4" s="7" t="s">
        <v>77</v>
      </c>
      <c r="I4" s="7" t="s">
        <v>78</v>
      </c>
      <c r="J4" s="7" t="s">
        <v>79</v>
      </c>
      <c r="K4" s="7" t="s">
        <v>80</v>
      </c>
      <c r="L4" s="7" t="s">
        <v>87</v>
      </c>
      <c r="M4" s="7" t="s">
        <v>88</v>
      </c>
      <c r="N4" s="7" t="s">
        <v>89</v>
      </c>
      <c r="O4" s="7" t="s">
        <v>90</v>
      </c>
      <c r="P4" s="7" t="s">
        <v>82</v>
      </c>
      <c r="Q4" s="7" t="s">
        <v>83</v>
      </c>
      <c r="R4" s="7" t="s">
        <v>92</v>
      </c>
      <c r="S4" s="7" t="s">
        <v>84</v>
      </c>
      <c r="T4" s="14">
        <v>46384</v>
      </c>
      <c r="U4" s="10">
        <v>3452</v>
      </c>
      <c r="V4" s="11">
        <v>6.65</v>
      </c>
      <c r="W4" s="7" t="s">
        <v>70</v>
      </c>
      <c r="X4" s="7" t="s">
        <v>85</v>
      </c>
      <c r="Y4" s="10">
        <v>1</v>
      </c>
      <c r="Z4" s="10">
        <v>0</v>
      </c>
      <c r="AA4" s="10">
        <v>1</v>
      </c>
    </row>
    <row r="5" spans="1:27" x14ac:dyDescent="0.3">
      <c r="A5" t="s">
        <v>94</v>
      </c>
      <c r="B5" s="15">
        <v>45842</v>
      </c>
      <c r="C5" t="s">
        <v>95</v>
      </c>
      <c r="D5" t="s">
        <v>55</v>
      </c>
      <c r="E5" t="s">
        <v>96</v>
      </c>
      <c r="F5" t="s">
        <v>97</v>
      </c>
      <c r="G5" t="s">
        <v>98</v>
      </c>
      <c r="H5" t="s">
        <v>99</v>
      </c>
      <c r="I5" t="s">
        <v>60</v>
      </c>
      <c r="J5" t="s">
        <v>61</v>
      </c>
      <c r="K5" t="s">
        <v>62</v>
      </c>
      <c r="L5" t="s">
        <v>100</v>
      </c>
      <c r="M5" t="s">
        <v>101</v>
      </c>
      <c r="N5" t="s">
        <v>102</v>
      </c>
      <c r="O5" t="s">
        <v>103</v>
      </c>
      <c r="P5" t="s">
        <v>67</v>
      </c>
      <c r="Q5" t="s">
        <v>104</v>
      </c>
      <c r="R5" t="s">
        <v>105</v>
      </c>
      <c r="S5" t="s">
        <v>106</v>
      </c>
      <c r="T5" s="15">
        <v>46962</v>
      </c>
      <c r="U5">
        <v>3291</v>
      </c>
      <c r="V5">
        <v>6.95</v>
      </c>
      <c r="W5" t="s">
        <v>70</v>
      </c>
      <c r="X5" t="s">
        <v>107</v>
      </c>
      <c r="Y5">
        <v>1</v>
      </c>
      <c r="Z5">
        <v>0</v>
      </c>
      <c r="AA5">
        <v>0</v>
      </c>
    </row>
    <row r="6" spans="1:27" x14ac:dyDescent="0.3">
      <c r="A6" t="s">
        <v>108</v>
      </c>
      <c r="B6" s="15">
        <v>45752</v>
      </c>
      <c r="C6" t="s">
        <v>54</v>
      </c>
      <c r="D6" t="s">
        <v>55</v>
      </c>
      <c r="E6" t="s">
        <v>109</v>
      </c>
      <c r="F6" t="s">
        <v>110</v>
      </c>
      <c r="G6" t="s">
        <v>111</v>
      </c>
      <c r="H6" t="s">
        <v>112</v>
      </c>
      <c r="I6" t="s">
        <v>113</v>
      </c>
      <c r="J6" t="s">
        <v>114</v>
      </c>
      <c r="K6" t="s">
        <v>115</v>
      </c>
      <c r="L6" t="s">
        <v>63</v>
      </c>
      <c r="M6" t="s">
        <v>116</v>
      </c>
      <c r="N6" t="s">
        <v>117</v>
      </c>
      <c r="O6" t="s">
        <v>118</v>
      </c>
      <c r="P6" t="s">
        <v>119</v>
      </c>
      <c r="Q6" t="s">
        <v>120</v>
      </c>
      <c r="R6" t="s">
        <v>121</v>
      </c>
      <c r="S6" t="s">
        <v>122</v>
      </c>
      <c r="T6" s="15">
        <v>46852</v>
      </c>
      <c r="U6">
        <v>2870</v>
      </c>
      <c r="V6">
        <v>14.33</v>
      </c>
      <c r="W6" t="s">
        <v>70</v>
      </c>
      <c r="X6" t="s">
        <v>123</v>
      </c>
      <c r="Y6">
        <v>1</v>
      </c>
      <c r="Z6">
        <v>0</v>
      </c>
      <c r="AA6">
        <v>1</v>
      </c>
    </row>
    <row r="7" spans="1:27" x14ac:dyDescent="0.3">
      <c r="A7" t="s">
        <v>72</v>
      </c>
      <c r="B7" s="15">
        <v>45931</v>
      </c>
      <c r="C7" t="s">
        <v>73</v>
      </c>
      <c r="D7" t="s">
        <v>55</v>
      </c>
      <c r="E7" t="s">
        <v>124</v>
      </c>
      <c r="F7" t="s">
        <v>125</v>
      </c>
      <c r="G7" t="s">
        <v>126</v>
      </c>
      <c r="H7" t="s">
        <v>127</v>
      </c>
      <c r="I7" t="s">
        <v>128</v>
      </c>
      <c r="J7" t="s">
        <v>129</v>
      </c>
      <c r="K7" t="s">
        <v>130</v>
      </c>
      <c r="L7" t="s">
        <v>63</v>
      </c>
      <c r="M7" t="s">
        <v>64</v>
      </c>
      <c r="N7" t="s">
        <v>65</v>
      </c>
      <c r="O7" t="s">
        <v>81</v>
      </c>
      <c r="P7" t="s">
        <v>82</v>
      </c>
      <c r="Q7" t="s">
        <v>131</v>
      </c>
      <c r="R7" t="s">
        <v>132</v>
      </c>
      <c r="S7" t="s">
        <v>133</v>
      </c>
      <c r="T7" s="15">
        <v>46505</v>
      </c>
      <c r="U7">
        <v>2432</v>
      </c>
      <c r="V7">
        <v>10.66</v>
      </c>
      <c r="W7" t="s">
        <v>70</v>
      </c>
      <c r="X7" t="s">
        <v>85</v>
      </c>
      <c r="Y7">
        <v>1</v>
      </c>
      <c r="Z7">
        <v>0</v>
      </c>
      <c r="AA7">
        <v>1</v>
      </c>
    </row>
    <row r="8" spans="1:27" x14ac:dyDescent="0.3">
      <c r="A8" t="s">
        <v>86</v>
      </c>
      <c r="B8" s="15">
        <v>45931</v>
      </c>
      <c r="C8" t="s">
        <v>93</v>
      </c>
      <c r="D8" t="s">
        <v>55</v>
      </c>
      <c r="E8" t="s">
        <v>134</v>
      </c>
      <c r="F8" t="s">
        <v>135</v>
      </c>
      <c r="G8" t="s">
        <v>136</v>
      </c>
      <c r="H8" t="s">
        <v>137</v>
      </c>
      <c r="I8" t="s">
        <v>138</v>
      </c>
      <c r="J8" t="s">
        <v>139</v>
      </c>
      <c r="K8" t="s">
        <v>140</v>
      </c>
      <c r="L8" t="s">
        <v>87</v>
      </c>
      <c r="M8" t="s">
        <v>88</v>
      </c>
      <c r="N8" t="s">
        <v>89</v>
      </c>
      <c r="O8" t="s">
        <v>90</v>
      </c>
      <c r="P8" t="s">
        <v>82</v>
      </c>
      <c r="Q8" t="s">
        <v>131</v>
      </c>
      <c r="R8" t="s">
        <v>132</v>
      </c>
      <c r="S8" t="s">
        <v>141</v>
      </c>
      <c r="T8" s="15">
        <v>46535</v>
      </c>
      <c r="U8">
        <v>2432</v>
      </c>
      <c r="V8">
        <v>11.66</v>
      </c>
      <c r="W8" t="s">
        <v>70</v>
      </c>
      <c r="X8" t="s">
        <v>85</v>
      </c>
      <c r="Y8">
        <v>1</v>
      </c>
      <c r="Z8">
        <v>0</v>
      </c>
      <c r="AA8">
        <v>1</v>
      </c>
    </row>
    <row r="9" spans="1:27" x14ac:dyDescent="0.3">
      <c r="A9" t="s">
        <v>142</v>
      </c>
      <c r="B9" s="15">
        <v>45931</v>
      </c>
      <c r="C9" t="s">
        <v>93</v>
      </c>
      <c r="D9" t="s">
        <v>55</v>
      </c>
      <c r="E9" t="s">
        <v>143</v>
      </c>
      <c r="F9" t="s">
        <v>144</v>
      </c>
      <c r="G9" t="s">
        <v>145</v>
      </c>
      <c r="H9" t="s">
        <v>146</v>
      </c>
      <c r="I9" t="s">
        <v>147</v>
      </c>
      <c r="J9" t="s">
        <v>148</v>
      </c>
      <c r="K9" t="s">
        <v>149</v>
      </c>
      <c r="L9" t="s">
        <v>87</v>
      </c>
      <c r="M9" t="s">
        <v>88</v>
      </c>
      <c r="N9" t="s">
        <v>89</v>
      </c>
      <c r="O9" t="s">
        <v>150</v>
      </c>
      <c r="P9" t="s">
        <v>82</v>
      </c>
      <c r="Q9" t="s">
        <v>151</v>
      </c>
      <c r="R9" t="s">
        <v>152</v>
      </c>
      <c r="S9" t="s">
        <v>153</v>
      </c>
      <c r="T9" s="15">
        <v>47538</v>
      </c>
      <c r="U9">
        <v>2400</v>
      </c>
      <c r="V9">
        <v>2.98</v>
      </c>
      <c r="W9" t="s">
        <v>70</v>
      </c>
      <c r="X9" t="s">
        <v>85</v>
      </c>
      <c r="Y9">
        <v>1</v>
      </c>
      <c r="Z9">
        <v>0</v>
      </c>
      <c r="AA9">
        <v>0</v>
      </c>
    </row>
    <row r="10" spans="1:27" x14ac:dyDescent="0.3">
      <c r="A10" t="s">
        <v>142</v>
      </c>
      <c r="B10" s="15">
        <v>45931</v>
      </c>
      <c r="C10" t="s">
        <v>93</v>
      </c>
      <c r="D10" t="s">
        <v>55</v>
      </c>
      <c r="E10" t="s">
        <v>154</v>
      </c>
      <c r="F10" t="s">
        <v>155</v>
      </c>
      <c r="G10" t="s">
        <v>156</v>
      </c>
      <c r="H10" t="s">
        <v>157</v>
      </c>
      <c r="I10" t="s">
        <v>158</v>
      </c>
      <c r="J10" t="s">
        <v>139</v>
      </c>
      <c r="K10" t="s">
        <v>140</v>
      </c>
      <c r="L10" t="s">
        <v>87</v>
      </c>
      <c r="M10" t="s">
        <v>88</v>
      </c>
      <c r="N10" t="s">
        <v>89</v>
      </c>
      <c r="O10" t="s">
        <v>150</v>
      </c>
      <c r="P10" t="s">
        <v>82</v>
      </c>
      <c r="Q10" t="s">
        <v>159</v>
      </c>
      <c r="R10" t="s">
        <v>160</v>
      </c>
      <c r="S10" t="s">
        <v>161</v>
      </c>
      <c r="T10" s="15">
        <v>47389</v>
      </c>
      <c r="U10">
        <v>2400</v>
      </c>
      <c r="V10">
        <v>4.24</v>
      </c>
      <c r="W10" t="s">
        <v>70</v>
      </c>
      <c r="X10" t="s">
        <v>85</v>
      </c>
      <c r="Y10">
        <v>1</v>
      </c>
      <c r="Z10">
        <v>0</v>
      </c>
      <c r="AA10">
        <v>0</v>
      </c>
    </row>
    <row r="11" spans="1:27" x14ac:dyDescent="0.3">
      <c r="A11" t="s">
        <v>162</v>
      </c>
      <c r="B11" s="15">
        <v>45815</v>
      </c>
      <c r="C11" t="s">
        <v>95</v>
      </c>
      <c r="D11" t="s">
        <v>55</v>
      </c>
      <c r="E11" t="s">
        <v>163</v>
      </c>
      <c r="F11" t="s">
        <v>164</v>
      </c>
      <c r="G11" t="s">
        <v>165</v>
      </c>
      <c r="H11" t="s">
        <v>166</v>
      </c>
      <c r="I11" t="s">
        <v>167</v>
      </c>
      <c r="J11" t="s">
        <v>168</v>
      </c>
      <c r="K11" t="s">
        <v>169</v>
      </c>
      <c r="L11" t="s">
        <v>170</v>
      </c>
      <c r="M11" t="s">
        <v>171</v>
      </c>
      <c r="N11" t="s">
        <v>172</v>
      </c>
      <c r="O11" t="s">
        <v>173</v>
      </c>
      <c r="P11" t="s">
        <v>167</v>
      </c>
      <c r="Q11" t="s">
        <v>174</v>
      </c>
      <c r="R11" t="s">
        <v>175</v>
      </c>
      <c r="S11" t="s">
        <v>176</v>
      </c>
      <c r="T11" s="15">
        <v>46446</v>
      </c>
      <c r="U11">
        <v>2200</v>
      </c>
      <c r="V11">
        <v>2.6</v>
      </c>
      <c r="W11" t="s">
        <v>70</v>
      </c>
      <c r="X11" t="s">
        <v>177</v>
      </c>
      <c r="Y11">
        <v>1</v>
      </c>
      <c r="Z11">
        <v>1</v>
      </c>
      <c r="AA11">
        <v>1</v>
      </c>
    </row>
    <row r="12" spans="1:27" x14ac:dyDescent="0.3">
      <c r="A12" t="s">
        <v>178</v>
      </c>
      <c r="B12" s="15">
        <v>45661</v>
      </c>
      <c r="C12" t="s">
        <v>179</v>
      </c>
      <c r="D12" t="s">
        <v>55</v>
      </c>
      <c r="E12" t="s">
        <v>180</v>
      </c>
      <c r="F12" t="s">
        <v>181</v>
      </c>
      <c r="G12" t="s">
        <v>182</v>
      </c>
      <c r="H12" t="s">
        <v>183</v>
      </c>
      <c r="I12" t="s">
        <v>167</v>
      </c>
      <c r="J12" t="s">
        <v>184</v>
      </c>
      <c r="K12" t="s">
        <v>185</v>
      </c>
      <c r="L12" t="s">
        <v>186</v>
      </c>
      <c r="M12" t="s">
        <v>187</v>
      </c>
      <c r="N12" t="s">
        <v>188</v>
      </c>
      <c r="O12" t="s">
        <v>189</v>
      </c>
      <c r="P12" t="s">
        <v>167</v>
      </c>
      <c r="Q12" t="s">
        <v>190</v>
      </c>
      <c r="R12" t="s">
        <v>191</v>
      </c>
      <c r="S12" t="s">
        <v>192</v>
      </c>
      <c r="T12" s="15">
        <v>47303</v>
      </c>
      <c r="U12">
        <v>2050</v>
      </c>
      <c r="V12">
        <v>6.45</v>
      </c>
      <c r="W12" t="s">
        <v>70</v>
      </c>
      <c r="X12" t="s">
        <v>193</v>
      </c>
      <c r="Y12">
        <v>1</v>
      </c>
      <c r="Z12">
        <v>0</v>
      </c>
      <c r="AA12">
        <v>0</v>
      </c>
    </row>
    <row r="13" spans="1:27" x14ac:dyDescent="0.3">
      <c r="A13" t="s">
        <v>86</v>
      </c>
      <c r="B13" s="15">
        <v>45931</v>
      </c>
      <c r="C13" t="s">
        <v>93</v>
      </c>
      <c r="D13" t="s">
        <v>55</v>
      </c>
      <c r="E13" t="s">
        <v>194</v>
      </c>
      <c r="F13" t="s">
        <v>195</v>
      </c>
      <c r="G13" t="s">
        <v>196</v>
      </c>
      <c r="H13" t="s">
        <v>197</v>
      </c>
      <c r="I13" t="s">
        <v>138</v>
      </c>
      <c r="J13" t="s">
        <v>139</v>
      </c>
      <c r="K13" t="s">
        <v>140</v>
      </c>
      <c r="L13" t="s">
        <v>87</v>
      </c>
      <c r="M13" t="s">
        <v>88</v>
      </c>
      <c r="N13" t="s">
        <v>89</v>
      </c>
      <c r="O13" t="s">
        <v>90</v>
      </c>
      <c r="P13" t="s">
        <v>82</v>
      </c>
      <c r="Q13" t="s">
        <v>198</v>
      </c>
      <c r="R13" t="s">
        <v>199</v>
      </c>
      <c r="S13" t="s">
        <v>200</v>
      </c>
      <c r="T13" s="15">
        <v>46566</v>
      </c>
      <c r="U13">
        <v>2028</v>
      </c>
      <c r="V13">
        <v>7.03</v>
      </c>
      <c r="W13" t="s">
        <v>70</v>
      </c>
      <c r="X13" t="s">
        <v>85</v>
      </c>
      <c r="Y13">
        <v>1</v>
      </c>
      <c r="Z13">
        <v>0</v>
      </c>
      <c r="AA13">
        <v>0</v>
      </c>
    </row>
    <row r="14" spans="1:27" x14ac:dyDescent="0.3">
      <c r="A14" t="s">
        <v>72</v>
      </c>
      <c r="B14" s="15">
        <v>45931</v>
      </c>
      <c r="C14" t="s">
        <v>73</v>
      </c>
      <c r="D14" t="s">
        <v>55</v>
      </c>
      <c r="E14" t="s">
        <v>201</v>
      </c>
      <c r="F14" t="s">
        <v>202</v>
      </c>
      <c r="G14" t="s">
        <v>203</v>
      </c>
      <c r="H14" t="s">
        <v>204</v>
      </c>
      <c r="I14" t="s">
        <v>138</v>
      </c>
      <c r="J14" t="s">
        <v>139</v>
      </c>
      <c r="K14" t="s">
        <v>140</v>
      </c>
      <c r="L14" t="s">
        <v>63</v>
      </c>
      <c r="M14" t="s">
        <v>64</v>
      </c>
      <c r="N14" t="s">
        <v>65</v>
      </c>
      <c r="O14" t="s">
        <v>81</v>
      </c>
      <c r="P14" t="s">
        <v>82</v>
      </c>
      <c r="Q14" t="s">
        <v>198</v>
      </c>
      <c r="R14" t="s">
        <v>199</v>
      </c>
      <c r="S14" t="s">
        <v>205</v>
      </c>
      <c r="T14" s="15">
        <v>46566</v>
      </c>
      <c r="U14">
        <v>2028</v>
      </c>
      <c r="V14">
        <v>7.03</v>
      </c>
      <c r="W14" t="s">
        <v>70</v>
      </c>
      <c r="X14" t="s">
        <v>85</v>
      </c>
      <c r="Y14">
        <v>1</v>
      </c>
      <c r="Z14">
        <v>0</v>
      </c>
      <c r="AA14">
        <v>0</v>
      </c>
    </row>
    <row r="15" spans="1:27" x14ac:dyDescent="0.3">
      <c r="A15" t="s">
        <v>206</v>
      </c>
      <c r="B15" s="15">
        <v>45931</v>
      </c>
      <c r="C15" t="s">
        <v>95</v>
      </c>
      <c r="D15" t="s">
        <v>55</v>
      </c>
      <c r="E15" t="s">
        <v>207</v>
      </c>
      <c r="F15" t="s">
        <v>208</v>
      </c>
      <c r="G15" t="s">
        <v>209</v>
      </c>
      <c r="H15" t="s">
        <v>210</v>
      </c>
      <c r="I15" t="s">
        <v>211</v>
      </c>
      <c r="J15" t="s">
        <v>212</v>
      </c>
      <c r="K15" t="s">
        <v>213</v>
      </c>
      <c r="L15" t="s">
        <v>63</v>
      </c>
      <c r="M15" t="s">
        <v>214</v>
      </c>
      <c r="N15" t="s">
        <v>215</v>
      </c>
      <c r="O15" t="s">
        <v>216</v>
      </c>
      <c r="P15" t="s">
        <v>119</v>
      </c>
      <c r="Q15" t="s">
        <v>217</v>
      </c>
      <c r="R15" t="s">
        <v>218</v>
      </c>
      <c r="S15" t="s">
        <v>219</v>
      </c>
      <c r="T15" s="15">
        <v>46262</v>
      </c>
      <c r="U15">
        <v>2000</v>
      </c>
      <c r="V15">
        <v>80</v>
      </c>
      <c r="W15" t="s">
        <v>70</v>
      </c>
      <c r="X15" t="s">
        <v>85</v>
      </c>
      <c r="Y15">
        <v>1</v>
      </c>
      <c r="Z15">
        <v>0</v>
      </c>
      <c r="AA15">
        <v>0</v>
      </c>
    </row>
    <row r="16" spans="1:27" x14ac:dyDescent="0.3">
      <c r="A16" t="s">
        <v>220</v>
      </c>
      <c r="B16" s="15">
        <v>45918</v>
      </c>
      <c r="C16" t="s">
        <v>54</v>
      </c>
      <c r="D16" t="s">
        <v>55</v>
      </c>
      <c r="E16" t="s">
        <v>221</v>
      </c>
      <c r="F16" t="s">
        <v>222</v>
      </c>
      <c r="G16" t="s">
        <v>223</v>
      </c>
      <c r="H16" t="s">
        <v>224</v>
      </c>
      <c r="I16" t="s">
        <v>167</v>
      </c>
      <c r="J16" t="s">
        <v>225</v>
      </c>
      <c r="K16" t="s">
        <v>226</v>
      </c>
      <c r="L16" t="s">
        <v>63</v>
      </c>
      <c r="M16" t="s">
        <v>64</v>
      </c>
      <c r="N16" t="s">
        <v>65</v>
      </c>
      <c r="O16" t="s">
        <v>227</v>
      </c>
      <c r="P16" t="s">
        <v>167</v>
      </c>
      <c r="Q16" t="s">
        <v>228</v>
      </c>
      <c r="R16" t="s">
        <v>229</v>
      </c>
      <c r="S16" t="s">
        <v>230</v>
      </c>
      <c r="T16" s="15">
        <v>46262</v>
      </c>
      <c r="U16">
        <v>2000</v>
      </c>
      <c r="V16">
        <v>0</v>
      </c>
      <c r="W16" t="s">
        <v>70</v>
      </c>
      <c r="X16" t="s">
        <v>71</v>
      </c>
      <c r="Y16">
        <v>1</v>
      </c>
      <c r="Z16">
        <v>0</v>
      </c>
      <c r="AA16">
        <v>0</v>
      </c>
    </row>
    <row r="17" spans="1:27" x14ac:dyDescent="0.3">
      <c r="A17" t="s">
        <v>72</v>
      </c>
      <c r="B17" s="15">
        <v>45931</v>
      </c>
      <c r="C17" t="s">
        <v>73</v>
      </c>
      <c r="D17" t="s">
        <v>55</v>
      </c>
      <c r="E17" t="s">
        <v>231</v>
      </c>
      <c r="F17" t="s">
        <v>232</v>
      </c>
      <c r="G17" t="s">
        <v>233</v>
      </c>
      <c r="H17" t="s">
        <v>234</v>
      </c>
      <c r="I17" t="s">
        <v>138</v>
      </c>
      <c r="J17" t="s">
        <v>139</v>
      </c>
      <c r="K17" t="s">
        <v>140</v>
      </c>
      <c r="L17" t="s">
        <v>63</v>
      </c>
      <c r="M17" t="s">
        <v>64</v>
      </c>
      <c r="N17" t="s">
        <v>65</v>
      </c>
      <c r="O17" t="s">
        <v>81</v>
      </c>
      <c r="P17" t="s">
        <v>82</v>
      </c>
      <c r="Q17" t="s">
        <v>235</v>
      </c>
      <c r="R17" t="s">
        <v>236</v>
      </c>
      <c r="S17" t="s">
        <v>237</v>
      </c>
      <c r="T17" s="15">
        <v>46535</v>
      </c>
      <c r="U17">
        <v>1896</v>
      </c>
      <c r="V17">
        <v>8.4600000000000009</v>
      </c>
      <c r="W17" t="s">
        <v>70</v>
      </c>
      <c r="X17" t="s">
        <v>85</v>
      </c>
      <c r="Y17">
        <v>1</v>
      </c>
      <c r="Z17">
        <v>0</v>
      </c>
      <c r="AA17">
        <v>1</v>
      </c>
    </row>
    <row r="18" spans="1:27" x14ac:dyDescent="0.3">
      <c r="A18" t="s">
        <v>86</v>
      </c>
      <c r="B18" s="15">
        <v>45931</v>
      </c>
      <c r="C18" t="s">
        <v>93</v>
      </c>
      <c r="D18" t="s">
        <v>55</v>
      </c>
      <c r="E18" t="s">
        <v>231</v>
      </c>
      <c r="F18" t="s">
        <v>232</v>
      </c>
      <c r="G18" t="s">
        <v>233</v>
      </c>
      <c r="H18" t="s">
        <v>234</v>
      </c>
      <c r="I18" t="s">
        <v>138</v>
      </c>
      <c r="J18" t="s">
        <v>139</v>
      </c>
      <c r="K18" t="s">
        <v>140</v>
      </c>
      <c r="L18" t="s">
        <v>87</v>
      </c>
      <c r="M18" t="s">
        <v>88</v>
      </c>
      <c r="N18" t="s">
        <v>89</v>
      </c>
      <c r="O18" t="s">
        <v>90</v>
      </c>
      <c r="P18" t="s">
        <v>82</v>
      </c>
      <c r="Q18" t="s">
        <v>235</v>
      </c>
      <c r="R18" t="s">
        <v>236</v>
      </c>
      <c r="S18" t="s">
        <v>237</v>
      </c>
      <c r="T18" s="15">
        <v>46535</v>
      </c>
      <c r="U18">
        <v>1896</v>
      </c>
      <c r="V18">
        <v>8.4600000000000009</v>
      </c>
      <c r="W18" t="s">
        <v>70</v>
      </c>
      <c r="X18" t="s">
        <v>85</v>
      </c>
      <c r="Y18">
        <v>1</v>
      </c>
      <c r="Z18">
        <v>0</v>
      </c>
      <c r="AA18">
        <v>0</v>
      </c>
    </row>
    <row r="19" spans="1:27" x14ac:dyDescent="0.3">
      <c r="A19" t="s">
        <v>238</v>
      </c>
      <c r="B19" s="15">
        <v>45931</v>
      </c>
      <c r="C19" t="s">
        <v>179</v>
      </c>
      <c r="D19" t="s">
        <v>55</v>
      </c>
      <c r="E19" t="s">
        <v>74</v>
      </c>
      <c r="F19" t="s">
        <v>75</v>
      </c>
      <c r="G19" t="s">
        <v>76</v>
      </c>
      <c r="H19" t="s">
        <v>77</v>
      </c>
      <c r="I19" t="s">
        <v>78</v>
      </c>
      <c r="J19" t="s">
        <v>79</v>
      </c>
      <c r="K19" t="s">
        <v>80</v>
      </c>
      <c r="L19" t="s">
        <v>186</v>
      </c>
      <c r="M19" t="s">
        <v>239</v>
      </c>
      <c r="N19" t="s">
        <v>240</v>
      </c>
      <c r="O19" t="s">
        <v>241</v>
      </c>
      <c r="P19" t="s">
        <v>82</v>
      </c>
      <c r="Q19" t="s">
        <v>83</v>
      </c>
      <c r="R19" t="s">
        <v>92</v>
      </c>
      <c r="S19" t="s">
        <v>84</v>
      </c>
      <c r="T19" s="15">
        <v>46384</v>
      </c>
      <c r="U19">
        <v>1726</v>
      </c>
      <c r="V19">
        <v>6.65</v>
      </c>
      <c r="W19" t="s">
        <v>70</v>
      </c>
      <c r="X19" t="s">
        <v>85</v>
      </c>
      <c r="Y19">
        <v>1</v>
      </c>
      <c r="Z19">
        <v>0</v>
      </c>
      <c r="AA19">
        <v>1</v>
      </c>
    </row>
    <row r="20" spans="1:27" x14ac:dyDescent="0.3">
      <c r="A20" t="s">
        <v>242</v>
      </c>
      <c r="B20" s="15">
        <v>45752</v>
      </c>
      <c r="C20" t="s">
        <v>179</v>
      </c>
      <c r="D20" t="s">
        <v>55</v>
      </c>
      <c r="E20" t="s">
        <v>243</v>
      </c>
      <c r="F20" t="s">
        <v>244</v>
      </c>
      <c r="G20" t="s">
        <v>245</v>
      </c>
      <c r="H20" t="s">
        <v>246</v>
      </c>
      <c r="I20" t="s">
        <v>247</v>
      </c>
      <c r="J20" t="s">
        <v>129</v>
      </c>
      <c r="K20" t="s">
        <v>130</v>
      </c>
      <c r="L20" t="s">
        <v>63</v>
      </c>
      <c r="M20" t="s">
        <v>214</v>
      </c>
      <c r="N20" t="s">
        <v>215</v>
      </c>
      <c r="O20" t="s">
        <v>248</v>
      </c>
      <c r="P20" t="s">
        <v>67</v>
      </c>
      <c r="Q20" t="s">
        <v>131</v>
      </c>
      <c r="R20" t="s">
        <v>132</v>
      </c>
      <c r="S20" t="s">
        <v>249</v>
      </c>
      <c r="T20" s="15">
        <v>46323</v>
      </c>
      <c r="U20">
        <v>1724</v>
      </c>
      <c r="V20">
        <v>10.66</v>
      </c>
      <c r="W20" t="s">
        <v>70</v>
      </c>
      <c r="X20" t="s">
        <v>123</v>
      </c>
      <c r="Y20">
        <v>1</v>
      </c>
      <c r="Z20">
        <v>0</v>
      </c>
      <c r="AA20">
        <v>0</v>
      </c>
    </row>
    <row r="21" spans="1:27" x14ac:dyDescent="0.3">
      <c r="A21" t="s">
        <v>86</v>
      </c>
      <c r="B21" s="15">
        <v>45931</v>
      </c>
      <c r="C21" t="s">
        <v>93</v>
      </c>
      <c r="D21" t="s">
        <v>55</v>
      </c>
      <c r="E21" t="s">
        <v>250</v>
      </c>
      <c r="F21" t="s">
        <v>251</v>
      </c>
      <c r="G21" t="s">
        <v>252</v>
      </c>
      <c r="H21" t="s">
        <v>253</v>
      </c>
      <c r="I21" t="s">
        <v>254</v>
      </c>
      <c r="J21" t="s">
        <v>139</v>
      </c>
      <c r="K21" t="s">
        <v>140</v>
      </c>
      <c r="L21" t="s">
        <v>87</v>
      </c>
      <c r="M21" t="s">
        <v>88</v>
      </c>
      <c r="N21" t="s">
        <v>89</v>
      </c>
      <c r="O21" t="s">
        <v>90</v>
      </c>
      <c r="P21" t="s">
        <v>82</v>
      </c>
      <c r="Q21" t="s">
        <v>255</v>
      </c>
      <c r="R21" t="s">
        <v>256</v>
      </c>
      <c r="S21" t="s">
        <v>257</v>
      </c>
      <c r="T21" s="15">
        <v>46474</v>
      </c>
      <c r="U21">
        <v>1688</v>
      </c>
      <c r="V21">
        <v>8.4</v>
      </c>
      <c r="W21" t="s">
        <v>70</v>
      </c>
      <c r="X21" t="s">
        <v>85</v>
      </c>
      <c r="Y21">
        <v>1</v>
      </c>
      <c r="Z21">
        <v>0</v>
      </c>
      <c r="AA21">
        <v>0</v>
      </c>
    </row>
    <row r="22" spans="1:27" x14ac:dyDescent="0.3">
      <c r="A22" t="s">
        <v>258</v>
      </c>
      <c r="B22" s="15">
        <v>45661</v>
      </c>
      <c r="C22" t="s">
        <v>54</v>
      </c>
      <c r="D22" t="s">
        <v>55</v>
      </c>
      <c r="E22" t="s">
        <v>259</v>
      </c>
      <c r="F22" t="s">
        <v>260</v>
      </c>
      <c r="G22" t="s">
        <v>261</v>
      </c>
      <c r="H22" t="s">
        <v>262</v>
      </c>
      <c r="I22" t="s">
        <v>261</v>
      </c>
      <c r="J22" t="s">
        <v>263</v>
      </c>
      <c r="K22" t="s">
        <v>264</v>
      </c>
      <c r="L22" t="s">
        <v>186</v>
      </c>
      <c r="M22" t="s">
        <v>265</v>
      </c>
      <c r="N22" t="s">
        <v>266</v>
      </c>
      <c r="O22" t="s">
        <v>267</v>
      </c>
      <c r="P22" t="s">
        <v>167</v>
      </c>
      <c r="Q22" t="s">
        <v>268</v>
      </c>
      <c r="R22" t="s">
        <v>269</v>
      </c>
      <c r="S22" t="s">
        <v>270</v>
      </c>
      <c r="T22" s="15">
        <v>46468</v>
      </c>
      <c r="U22">
        <v>1650</v>
      </c>
      <c r="V22">
        <v>0</v>
      </c>
      <c r="W22" t="s">
        <v>70</v>
      </c>
      <c r="X22" t="s">
        <v>193</v>
      </c>
      <c r="Y22">
        <v>1</v>
      </c>
      <c r="Z22">
        <v>0</v>
      </c>
      <c r="AA22">
        <v>0</v>
      </c>
    </row>
    <row r="23" spans="1:27" x14ac:dyDescent="0.3">
      <c r="A23" t="s">
        <v>271</v>
      </c>
      <c r="B23" s="15">
        <v>45842</v>
      </c>
      <c r="C23" t="s">
        <v>272</v>
      </c>
      <c r="D23" t="s">
        <v>55</v>
      </c>
      <c r="E23" t="s">
        <v>273</v>
      </c>
      <c r="F23" t="s">
        <v>274</v>
      </c>
      <c r="G23" t="s">
        <v>275</v>
      </c>
      <c r="H23" t="s">
        <v>276</v>
      </c>
      <c r="I23" t="s">
        <v>277</v>
      </c>
      <c r="J23" t="s">
        <v>278</v>
      </c>
      <c r="K23" t="s">
        <v>279</v>
      </c>
      <c r="L23" t="s">
        <v>170</v>
      </c>
      <c r="M23" t="s">
        <v>171</v>
      </c>
      <c r="N23" t="s">
        <v>172</v>
      </c>
      <c r="O23" t="s">
        <v>280</v>
      </c>
      <c r="P23" t="s">
        <v>82</v>
      </c>
      <c r="Q23" t="s">
        <v>281</v>
      </c>
      <c r="R23" t="s">
        <v>282</v>
      </c>
      <c r="S23" t="s">
        <v>283</v>
      </c>
      <c r="T23" s="15">
        <v>46082</v>
      </c>
      <c r="U23">
        <v>1629</v>
      </c>
      <c r="V23">
        <v>0.4</v>
      </c>
      <c r="W23" t="s">
        <v>70</v>
      </c>
      <c r="X23" t="s">
        <v>107</v>
      </c>
      <c r="Y23">
        <v>1</v>
      </c>
      <c r="Z23">
        <v>1</v>
      </c>
      <c r="AA23">
        <v>0</v>
      </c>
    </row>
    <row r="24" spans="1:27" x14ac:dyDescent="0.3">
      <c r="A24" t="s">
        <v>94</v>
      </c>
      <c r="B24" s="15">
        <v>45842</v>
      </c>
      <c r="C24" t="s">
        <v>95</v>
      </c>
      <c r="D24" t="s">
        <v>55</v>
      </c>
      <c r="E24" t="s">
        <v>284</v>
      </c>
      <c r="F24" t="s">
        <v>285</v>
      </c>
      <c r="G24" t="s">
        <v>286</v>
      </c>
      <c r="H24" t="s">
        <v>287</v>
      </c>
      <c r="I24" t="s">
        <v>60</v>
      </c>
      <c r="J24" t="s">
        <v>61</v>
      </c>
      <c r="K24" t="s">
        <v>62</v>
      </c>
      <c r="L24" t="s">
        <v>100</v>
      </c>
      <c r="M24" t="s">
        <v>101</v>
      </c>
      <c r="N24" t="s">
        <v>102</v>
      </c>
      <c r="O24" t="s">
        <v>103</v>
      </c>
      <c r="P24" t="s">
        <v>67</v>
      </c>
      <c r="Q24" t="s">
        <v>288</v>
      </c>
      <c r="R24" t="s">
        <v>289</v>
      </c>
      <c r="S24" t="s">
        <v>290</v>
      </c>
      <c r="T24" s="15">
        <v>46962</v>
      </c>
      <c r="U24">
        <v>1616</v>
      </c>
      <c r="V24">
        <v>6.95</v>
      </c>
      <c r="W24" t="s">
        <v>70</v>
      </c>
      <c r="X24" t="s">
        <v>107</v>
      </c>
      <c r="Y24">
        <v>1</v>
      </c>
      <c r="Z24">
        <v>0</v>
      </c>
      <c r="AA24">
        <v>0</v>
      </c>
    </row>
    <row r="25" spans="1:27" x14ac:dyDescent="0.3">
      <c r="A25" t="s">
        <v>291</v>
      </c>
      <c r="B25" s="15">
        <v>45752</v>
      </c>
      <c r="C25" t="s">
        <v>54</v>
      </c>
      <c r="D25" t="s">
        <v>55</v>
      </c>
      <c r="E25" t="s">
        <v>163</v>
      </c>
      <c r="F25" t="s">
        <v>164</v>
      </c>
      <c r="G25" t="s">
        <v>165</v>
      </c>
      <c r="H25" t="s">
        <v>166</v>
      </c>
      <c r="I25" t="s">
        <v>167</v>
      </c>
      <c r="J25" t="s">
        <v>168</v>
      </c>
      <c r="K25" t="s">
        <v>169</v>
      </c>
      <c r="L25" t="s">
        <v>63</v>
      </c>
      <c r="M25" t="s">
        <v>116</v>
      </c>
      <c r="N25" t="s">
        <v>117</v>
      </c>
      <c r="O25" t="s">
        <v>292</v>
      </c>
      <c r="P25" t="s">
        <v>167</v>
      </c>
      <c r="Q25" t="s">
        <v>174</v>
      </c>
      <c r="R25" t="s">
        <v>175</v>
      </c>
      <c r="S25" t="s">
        <v>176</v>
      </c>
      <c r="T25" s="15">
        <v>46446</v>
      </c>
      <c r="U25">
        <v>1600</v>
      </c>
      <c r="V25">
        <v>2.6</v>
      </c>
      <c r="W25" t="s">
        <v>70</v>
      </c>
      <c r="X25" t="s">
        <v>123</v>
      </c>
      <c r="Y25">
        <v>1</v>
      </c>
      <c r="Z25">
        <v>1</v>
      </c>
      <c r="AA25">
        <v>0</v>
      </c>
    </row>
    <row r="26" spans="1:27" x14ac:dyDescent="0.3">
      <c r="A26" t="s">
        <v>72</v>
      </c>
      <c r="B26" s="15">
        <v>45931</v>
      </c>
      <c r="C26" t="s">
        <v>73</v>
      </c>
      <c r="D26" t="s">
        <v>55</v>
      </c>
      <c r="E26" t="s">
        <v>293</v>
      </c>
      <c r="F26" t="s">
        <v>294</v>
      </c>
      <c r="G26" t="s">
        <v>295</v>
      </c>
      <c r="H26" t="s">
        <v>296</v>
      </c>
      <c r="I26" t="s">
        <v>128</v>
      </c>
      <c r="J26" t="s">
        <v>129</v>
      </c>
      <c r="K26" t="s">
        <v>130</v>
      </c>
      <c r="L26" t="s">
        <v>63</v>
      </c>
      <c r="M26" t="s">
        <v>64</v>
      </c>
      <c r="N26" t="s">
        <v>65</v>
      </c>
      <c r="O26" t="s">
        <v>81</v>
      </c>
      <c r="P26" t="s">
        <v>82</v>
      </c>
      <c r="Q26" t="s">
        <v>297</v>
      </c>
      <c r="R26" t="s">
        <v>298</v>
      </c>
      <c r="S26" t="s">
        <v>299</v>
      </c>
      <c r="T26" s="15">
        <v>46323</v>
      </c>
      <c r="U26">
        <v>1600</v>
      </c>
      <c r="V26">
        <v>20.63</v>
      </c>
      <c r="W26" t="s">
        <v>70</v>
      </c>
      <c r="X26" t="s">
        <v>85</v>
      </c>
      <c r="Y26">
        <v>1</v>
      </c>
      <c r="Z26">
        <v>0</v>
      </c>
      <c r="AA26">
        <v>0</v>
      </c>
    </row>
    <row r="27" spans="1:27" x14ac:dyDescent="0.3">
      <c r="A27" t="s">
        <v>242</v>
      </c>
      <c r="B27" s="15">
        <v>45752</v>
      </c>
      <c r="C27" t="s">
        <v>179</v>
      </c>
      <c r="D27" t="s">
        <v>55</v>
      </c>
      <c r="E27" t="s">
        <v>300</v>
      </c>
      <c r="F27" t="s">
        <v>301</v>
      </c>
      <c r="G27" t="s">
        <v>302</v>
      </c>
      <c r="H27" t="s">
        <v>303</v>
      </c>
      <c r="I27" t="s">
        <v>247</v>
      </c>
      <c r="J27" t="s">
        <v>129</v>
      </c>
      <c r="K27" t="s">
        <v>130</v>
      </c>
      <c r="L27" t="s">
        <v>63</v>
      </c>
      <c r="M27" t="s">
        <v>214</v>
      </c>
      <c r="N27" t="s">
        <v>215</v>
      </c>
      <c r="O27" t="s">
        <v>248</v>
      </c>
      <c r="P27" t="s">
        <v>67</v>
      </c>
      <c r="Q27" t="s">
        <v>304</v>
      </c>
      <c r="R27" t="s">
        <v>305</v>
      </c>
      <c r="S27" t="s">
        <v>306</v>
      </c>
      <c r="T27" s="15">
        <v>46231</v>
      </c>
      <c r="U27">
        <v>1576</v>
      </c>
      <c r="V27">
        <v>8.4600000000000009</v>
      </c>
      <c r="W27" t="s">
        <v>70</v>
      </c>
      <c r="X27" t="s">
        <v>123</v>
      </c>
      <c r="Y27">
        <v>1</v>
      </c>
      <c r="Z27">
        <v>0</v>
      </c>
      <c r="AA27">
        <v>0</v>
      </c>
    </row>
    <row r="28" spans="1:27" x14ac:dyDescent="0.3">
      <c r="A28" t="s">
        <v>307</v>
      </c>
      <c r="B28" s="15">
        <v>45842</v>
      </c>
      <c r="C28" t="s">
        <v>272</v>
      </c>
      <c r="D28" t="s">
        <v>55</v>
      </c>
      <c r="E28" t="s">
        <v>308</v>
      </c>
      <c r="F28" t="s">
        <v>309</v>
      </c>
      <c r="G28" t="s">
        <v>310</v>
      </c>
      <c r="H28" t="s">
        <v>311</v>
      </c>
      <c r="I28" t="s">
        <v>277</v>
      </c>
      <c r="J28" t="s">
        <v>278</v>
      </c>
      <c r="K28" t="s">
        <v>279</v>
      </c>
      <c r="L28" t="s">
        <v>170</v>
      </c>
      <c r="M28" t="s">
        <v>171</v>
      </c>
      <c r="N28" t="s">
        <v>172</v>
      </c>
      <c r="O28" t="s">
        <v>312</v>
      </c>
      <c r="P28" t="s">
        <v>67</v>
      </c>
      <c r="Q28" t="s">
        <v>281</v>
      </c>
      <c r="R28" t="s">
        <v>282</v>
      </c>
      <c r="S28" t="s">
        <v>283</v>
      </c>
      <c r="T28" s="15">
        <v>46082</v>
      </c>
      <c r="U28">
        <v>1571</v>
      </c>
      <c r="V28">
        <v>0.4</v>
      </c>
      <c r="W28" t="s">
        <v>70</v>
      </c>
      <c r="X28" t="s">
        <v>107</v>
      </c>
      <c r="Y28">
        <v>0</v>
      </c>
      <c r="Z28">
        <v>0</v>
      </c>
      <c r="AA28">
        <v>0</v>
      </c>
    </row>
    <row r="29" spans="1:27" x14ac:dyDescent="0.3">
      <c r="A29" t="s">
        <v>86</v>
      </c>
      <c r="B29" s="15">
        <v>45931</v>
      </c>
      <c r="C29" t="s">
        <v>93</v>
      </c>
      <c r="D29" t="s">
        <v>55</v>
      </c>
      <c r="E29" t="s">
        <v>313</v>
      </c>
      <c r="F29" t="s">
        <v>314</v>
      </c>
      <c r="G29" t="s">
        <v>315</v>
      </c>
      <c r="H29" t="s">
        <v>316</v>
      </c>
      <c r="I29" t="s">
        <v>128</v>
      </c>
      <c r="J29" t="s">
        <v>129</v>
      </c>
      <c r="K29" t="s">
        <v>130</v>
      </c>
      <c r="L29" t="s">
        <v>87</v>
      </c>
      <c r="M29" t="s">
        <v>88</v>
      </c>
      <c r="N29" t="s">
        <v>89</v>
      </c>
      <c r="O29" t="s">
        <v>90</v>
      </c>
      <c r="P29" t="s">
        <v>82</v>
      </c>
      <c r="Q29" t="s">
        <v>317</v>
      </c>
      <c r="R29" t="s">
        <v>318</v>
      </c>
      <c r="S29" t="s">
        <v>319</v>
      </c>
      <c r="T29" s="15">
        <v>46505</v>
      </c>
      <c r="U29">
        <v>1520</v>
      </c>
      <c r="V29">
        <v>10.06</v>
      </c>
      <c r="W29" t="s">
        <v>70</v>
      </c>
      <c r="X29" t="s">
        <v>85</v>
      </c>
      <c r="Y29">
        <v>0</v>
      </c>
      <c r="Z29">
        <v>0</v>
      </c>
      <c r="AA29">
        <v>0</v>
      </c>
    </row>
    <row r="30" spans="1:27" x14ac:dyDescent="0.3">
      <c r="A30" t="s">
        <v>320</v>
      </c>
      <c r="B30" s="15">
        <v>45842</v>
      </c>
      <c r="C30" t="s">
        <v>321</v>
      </c>
      <c r="D30" t="s">
        <v>55</v>
      </c>
      <c r="E30" t="s">
        <v>322</v>
      </c>
      <c r="F30" t="s">
        <v>323</v>
      </c>
      <c r="G30" t="s">
        <v>324</v>
      </c>
      <c r="H30" t="s">
        <v>325</v>
      </c>
      <c r="I30" t="s">
        <v>167</v>
      </c>
      <c r="J30" t="s">
        <v>326</v>
      </c>
      <c r="K30" t="s">
        <v>327</v>
      </c>
      <c r="L30" t="s">
        <v>63</v>
      </c>
      <c r="M30" t="s">
        <v>328</v>
      </c>
      <c r="N30" t="s">
        <v>329</v>
      </c>
      <c r="O30" t="s">
        <v>330</v>
      </c>
      <c r="P30" t="s">
        <v>167</v>
      </c>
      <c r="Q30" t="s">
        <v>331</v>
      </c>
      <c r="R30" t="s">
        <v>332</v>
      </c>
      <c r="S30" t="s">
        <v>333</v>
      </c>
      <c r="T30" s="15">
        <v>47266</v>
      </c>
      <c r="U30">
        <v>1500</v>
      </c>
      <c r="V30">
        <v>0.61</v>
      </c>
      <c r="W30" t="s">
        <v>70</v>
      </c>
      <c r="X30" t="s">
        <v>107</v>
      </c>
      <c r="Y30">
        <v>1</v>
      </c>
      <c r="Z30">
        <v>1</v>
      </c>
      <c r="AA30">
        <v>0</v>
      </c>
    </row>
    <row r="31" spans="1:27" x14ac:dyDescent="0.3">
      <c r="A31" t="s">
        <v>162</v>
      </c>
      <c r="B31" s="15">
        <v>45815</v>
      </c>
      <c r="C31" t="s">
        <v>95</v>
      </c>
      <c r="D31" t="s">
        <v>55</v>
      </c>
      <c r="E31" t="s">
        <v>322</v>
      </c>
      <c r="F31" t="s">
        <v>334</v>
      </c>
      <c r="G31" t="s">
        <v>324</v>
      </c>
      <c r="H31" t="s">
        <v>335</v>
      </c>
      <c r="I31" t="s">
        <v>167</v>
      </c>
      <c r="J31" t="s">
        <v>326</v>
      </c>
      <c r="K31" t="s">
        <v>327</v>
      </c>
      <c r="L31" t="s">
        <v>170</v>
      </c>
      <c r="M31" t="s">
        <v>171</v>
      </c>
      <c r="N31" t="s">
        <v>172</v>
      </c>
      <c r="O31" t="s">
        <v>173</v>
      </c>
      <c r="P31" t="s">
        <v>167</v>
      </c>
      <c r="Q31" t="s">
        <v>336</v>
      </c>
      <c r="R31" t="s">
        <v>337</v>
      </c>
      <c r="S31" t="s">
        <v>338</v>
      </c>
      <c r="T31" s="15">
        <v>47085</v>
      </c>
      <c r="U31">
        <v>1500</v>
      </c>
      <c r="V31">
        <v>11.5</v>
      </c>
      <c r="W31" t="s">
        <v>70</v>
      </c>
      <c r="X31" t="s">
        <v>177</v>
      </c>
      <c r="Y31">
        <v>1</v>
      </c>
      <c r="Z31">
        <v>0</v>
      </c>
      <c r="AA31">
        <v>0</v>
      </c>
    </row>
    <row r="32" spans="1:27" x14ac:dyDescent="0.3">
      <c r="A32" t="s">
        <v>339</v>
      </c>
      <c r="B32" s="15">
        <v>45815</v>
      </c>
      <c r="C32" t="s">
        <v>95</v>
      </c>
      <c r="D32" t="s">
        <v>55</v>
      </c>
      <c r="E32" t="s">
        <v>340</v>
      </c>
      <c r="F32" t="s">
        <v>341</v>
      </c>
      <c r="G32" t="s">
        <v>342</v>
      </c>
      <c r="H32" t="s">
        <v>343</v>
      </c>
      <c r="I32" t="s">
        <v>211</v>
      </c>
      <c r="J32" t="s">
        <v>212</v>
      </c>
      <c r="K32" t="s">
        <v>213</v>
      </c>
      <c r="L32" t="s">
        <v>170</v>
      </c>
      <c r="M32" t="s">
        <v>171</v>
      </c>
      <c r="N32" t="s">
        <v>172</v>
      </c>
      <c r="O32" t="s">
        <v>344</v>
      </c>
      <c r="P32" t="s">
        <v>119</v>
      </c>
      <c r="Q32" t="s">
        <v>159</v>
      </c>
      <c r="R32" t="s">
        <v>160</v>
      </c>
      <c r="S32" t="s">
        <v>345</v>
      </c>
      <c r="T32" s="15">
        <v>47294</v>
      </c>
      <c r="U32">
        <v>1500</v>
      </c>
      <c r="V32">
        <v>16</v>
      </c>
      <c r="W32" t="s">
        <v>70</v>
      </c>
      <c r="X32" t="s">
        <v>177</v>
      </c>
      <c r="Y32">
        <v>1</v>
      </c>
      <c r="Z32">
        <v>1</v>
      </c>
      <c r="AA32">
        <v>0</v>
      </c>
    </row>
    <row r="33" spans="1:27" x14ac:dyDescent="0.3">
      <c r="A33" t="s">
        <v>346</v>
      </c>
      <c r="B33" s="15">
        <v>45815</v>
      </c>
      <c r="C33" t="s">
        <v>272</v>
      </c>
      <c r="D33" t="s">
        <v>55</v>
      </c>
      <c r="E33" t="s">
        <v>347</v>
      </c>
      <c r="F33" t="s">
        <v>348</v>
      </c>
      <c r="G33" t="s">
        <v>349</v>
      </c>
      <c r="H33" t="s">
        <v>350</v>
      </c>
      <c r="I33" t="s">
        <v>113</v>
      </c>
      <c r="J33" t="s">
        <v>114</v>
      </c>
      <c r="K33" t="s">
        <v>115</v>
      </c>
      <c r="L33" t="s">
        <v>186</v>
      </c>
      <c r="M33" t="s">
        <v>239</v>
      </c>
      <c r="N33" t="s">
        <v>240</v>
      </c>
      <c r="O33" t="s">
        <v>351</v>
      </c>
      <c r="P33" t="s">
        <v>119</v>
      </c>
      <c r="Q33" t="s">
        <v>352</v>
      </c>
      <c r="R33" t="s">
        <v>353</v>
      </c>
      <c r="S33" t="s">
        <v>354</v>
      </c>
      <c r="T33" s="15">
        <v>46354</v>
      </c>
      <c r="U33">
        <v>1500</v>
      </c>
      <c r="V33">
        <v>9.64</v>
      </c>
      <c r="W33" t="s">
        <v>70</v>
      </c>
      <c r="X33" t="s">
        <v>177</v>
      </c>
      <c r="Y33">
        <v>1</v>
      </c>
      <c r="Z33">
        <v>0</v>
      </c>
      <c r="AA33">
        <v>0</v>
      </c>
    </row>
    <row r="34" spans="1:27" x14ac:dyDescent="0.3">
      <c r="A34" t="s">
        <v>355</v>
      </c>
      <c r="B34" s="15">
        <v>45842</v>
      </c>
      <c r="C34" t="s">
        <v>93</v>
      </c>
      <c r="D34" t="s">
        <v>55</v>
      </c>
      <c r="E34" t="s">
        <v>356</v>
      </c>
      <c r="F34" t="s">
        <v>357</v>
      </c>
      <c r="G34" t="s">
        <v>358</v>
      </c>
      <c r="H34" t="s">
        <v>359</v>
      </c>
      <c r="I34" t="s">
        <v>254</v>
      </c>
      <c r="J34" t="s">
        <v>139</v>
      </c>
      <c r="K34" t="s">
        <v>140</v>
      </c>
      <c r="L34" t="s">
        <v>100</v>
      </c>
      <c r="M34" t="s">
        <v>101</v>
      </c>
      <c r="N34" t="s">
        <v>102</v>
      </c>
      <c r="O34" t="s">
        <v>360</v>
      </c>
      <c r="P34" t="s">
        <v>82</v>
      </c>
      <c r="Q34" t="s">
        <v>297</v>
      </c>
      <c r="R34" t="s">
        <v>298</v>
      </c>
      <c r="S34" t="s">
        <v>361</v>
      </c>
      <c r="T34" s="15">
        <v>46262</v>
      </c>
      <c r="U34">
        <v>1384</v>
      </c>
      <c r="V34">
        <v>12.3</v>
      </c>
      <c r="W34" t="s">
        <v>70</v>
      </c>
      <c r="X34" t="s">
        <v>107</v>
      </c>
      <c r="Y34">
        <v>1</v>
      </c>
      <c r="Z34">
        <v>0</v>
      </c>
      <c r="AA34">
        <v>0</v>
      </c>
    </row>
    <row r="35" spans="1:27" x14ac:dyDescent="0.3">
      <c r="A35" t="s">
        <v>53</v>
      </c>
      <c r="B35" s="15">
        <v>45918</v>
      </c>
      <c r="C35" t="s">
        <v>54</v>
      </c>
      <c r="D35" t="s">
        <v>55</v>
      </c>
      <c r="E35" t="s">
        <v>362</v>
      </c>
      <c r="F35" t="s">
        <v>363</v>
      </c>
      <c r="G35" t="s">
        <v>364</v>
      </c>
      <c r="H35" t="s">
        <v>365</v>
      </c>
      <c r="I35" t="s">
        <v>247</v>
      </c>
      <c r="J35" t="s">
        <v>129</v>
      </c>
      <c r="K35" t="s">
        <v>130</v>
      </c>
      <c r="L35" t="s">
        <v>63</v>
      </c>
      <c r="M35" t="s">
        <v>64</v>
      </c>
      <c r="N35" t="s">
        <v>65</v>
      </c>
      <c r="O35" t="s">
        <v>66</v>
      </c>
      <c r="P35" t="s">
        <v>67</v>
      </c>
      <c r="Q35" t="s">
        <v>366</v>
      </c>
      <c r="R35" t="s">
        <v>367</v>
      </c>
      <c r="S35" t="s">
        <v>368</v>
      </c>
      <c r="T35" s="15">
        <v>46140</v>
      </c>
      <c r="U35">
        <v>1372</v>
      </c>
      <c r="V35">
        <v>12.97</v>
      </c>
      <c r="W35" t="s">
        <v>70</v>
      </c>
      <c r="X35" t="s">
        <v>71</v>
      </c>
      <c r="Y35">
        <v>1</v>
      </c>
      <c r="Z35">
        <v>0</v>
      </c>
      <c r="AA35">
        <v>0</v>
      </c>
    </row>
    <row r="36" spans="1:27" x14ac:dyDescent="0.3">
      <c r="A36" t="s">
        <v>72</v>
      </c>
      <c r="B36" s="15">
        <v>45931</v>
      </c>
      <c r="C36" t="s">
        <v>73</v>
      </c>
      <c r="D36" t="s">
        <v>55</v>
      </c>
      <c r="E36" t="s">
        <v>250</v>
      </c>
      <c r="F36" t="s">
        <v>369</v>
      </c>
      <c r="G36" t="s">
        <v>252</v>
      </c>
      <c r="H36" t="s">
        <v>253</v>
      </c>
      <c r="I36" t="s">
        <v>254</v>
      </c>
      <c r="J36" t="s">
        <v>139</v>
      </c>
      <c r="K36" t="s">
        <v>140</v>
      </c>
      <c r="L36" t="s">
        <v>63</v>
      </c>
      <c r="M36" t="s">
        <v>64</v>
      </c>
      <c r="N36" t="s">
        <v>65</v>
      </c>
      <c r="O36" t="s">
        <v>81</v>
      </c>
      <c r="P36" t="s">
        <v>82</v>
      </c>
      <c r="Q36" t="s">
        <v>255</v>
      </c>
      <c r="R36" t="s">
        <v>256</v>
      </c>
      <c r="S36" t="s">
        <v>370</v>
      </c>
      <c r="T36" s="15">
        <v>46474</v>
      </c>
      <c r="U36">
        <v>1322</v>
      </c>
      <c r="V36">
        <v>8.4</v>
      </c>
      <c r="W36" t="s">
        <v>70</v>
      </c>
      <c r="X36" t="s">
        <v>85</v>
      </c>
      <c r="Y36">
        <v>1</v>
      </c>
      <c r="Z36">
        <v>0</v>
      </c>
      <c r="AA36">
        <v>0</v>
      </c>
    </row>
    <row r="37" spans="1:27" x14ac:dyDescent="0.3">
      <c r="A37" t="s">
        <v>371</v>
      </c>
      <c r="B37" s="15">
        <v>45752</v>
      </c>
      <c r="C37" t="s">
        <v>54</v>
      </c>
      <c r="D37" t="s">
        <v>55</v>
      </c>
      <c r="E37" t="s">
        <v>284</v>
      </c>
      <c r="F37" t="s">
        <v>372</v>
      </c>
      <c r="G37" t="s">
        <v>286</v>
      </c>
      <c r="H37" t="s">
        <v>287</v>
      </c>
      <c r="I37" t="s">
        <v>60</v>
      </c>
      <c r="J37" t="s">
        <v>61</v>
      </c>
      <c r="K37" t="s">
        <v>62</v>
      </c>
      <c r="L37" t="s">
        <v>63</v>
      </c>
      <c r="M37" t="s">
        <v>116</v>
      </c>
      <c r="N37" t="s">
        <v>117</v>
      </c>
      <c r="O37" t="s">
        <v>373</v>
      </c>
      <c r="P37" t="s">
        <v>67</v>
      </c>
      <c r="Q37" t="s">
        <v>288</v>
      </c>
      <c r="R37" t="s">
        <v>289</v>
      </c>
      <c r="S37" t="s">
        <v>374</v>
      </c>
      <c r="T37" s="15">
        <v>46962</v>
      </c>
      <c r="U37">
        <v>1250</v>
      </c>
      <c r="V37">
        <v>6.95</v>
      </c>
      <c r="W37" t="s">
        <v>70</v>
      </c>
      <c r="X37" t="s">
        <v>123</v>
      </c>
      <c r="Y37">
        <v>1</v>
      </c>
      <c r="Z37">
        <v>0</v>
      </c>
      <c r="AA37">
        <v>1</v>
      </c>
    </row>
    <row r="38" spans="1:27" x14ac:dyDescent="0.3">
      <c r="A38" t="s">
        <v>291</v>
      </c>
      <c r="B38" s="15">
        <v>45752</v>
      </c>
      <c r="C38" t="s">
        <v>54</v>
      </c>
      <c r="D38" t="s">
        <v>55</v>
      </c>
      <c r="E38" t="s">
        <v>322</v>
      </c>
      <c r="F38" t="s">
        <v>375</v>
      </c>
      <c r="G38" t="s">
        <v>324</v>
      </c>
      <c r="H38" t="s">
        <v>325</v>
      </c>
      <c r="I38" t="s">
        <v>167</v>
      </c>
      <c r="J38" t="s">
        <v>326</v>
      </c>
      <c r="K38" t="s">
        <v>327</v>
      </c>
      <c r="L38" t="s">
        <v>63</v>
      </c>
      <c r="M38" t="s">
        <v>116</v>
      </c>
      <c r="N38" t="s">
        <v>117</v>
      </c>
      <c r="O38" t="s">
        <v>292</v>
      </c>
      <c r="P38" t="s">
        <v>167</v>
      </c>
      <c r="Q38" t="s">
        <v>331</v>
      </c>
      <c r="R38" t="s">
        <v>332</v>
      </c>
      <c r="S38" t="s">
        <v>376</v>
      </c>
      <c r="T38" s="15">
        <v>47266</v>
      </c>
      <c r="U38">
        <v>1250</v>
      </c>
      <c r="V38">
        <v>0.61</v>
      </c>
      <c r="W38" t="s">
        <v>70</v>
      </c>
      <c r="X38" t="s">
        <v>123</v>
      </c>
      <c r="Y38">
        <v>1</v>
      </c>
      <c r="Z38">
        <v>0</v>
      </c>
      <c r="AA38">
        <v>0</v>
      </c>
    </row>
    <row r="39" spans="1:27" x14ac:dyDescent="0.3">
      <c r="A39" t="s">
        <v>307</v>
      </c>
      <c r="B39" s="15">
        <v>45842</v>
      </c>
      <c r="C39" t="s">
        <v>272</v>
      </c>
      <c r="D39" t="s">
        <v>55</v>
      </c>
      <c r="E39" t="s">
        <v>377</v>
      </c>
      <c r="F39" t="s">
        <v>378</v>
      </c>
      <c r="G39" t="s">
        <v>379</v>
      </c>
      <c r="H39" t="s">
        <v>380</v>
      </c>
      <c r="I39" t="s">
        <v>381</v>
      </c>
      <c r="J39" t="s">
        <v>382</v>
      </c>
      <c r="K39" t="s">
        <v>383</v>
      </c>
      <c r="L39" t="s">
        <v>170</v>
      </c>
      <c r="M39" t="s">
        <v>171</v>
      </c>
      <c r="N39" t="s">
        <v>172</v>
      </c>
      <c r="O39" t="s">
        <v>312</v>
      </c>
      <c r="P39" t="s">
        <v>67</v>
      </c>
      <c r="Q39" t="s">
        <v>384</v>
      </c>
      <c r="R39" t="s">
        <v>385</v>
      </c>
      <c r="S39" t="s">
        <v>386</v>
      </c>
      <c r="T39" s="15">
        <v>47429</v>
      </c>
      <c r="U39">
        <v>1250</v>
      </c>
      <c r="V39">
        <v>1.99</v>
      </c>
      <c r="W39" t="s">
        <v>70</v>
      </c>
      <c r="X39" t="s">
        <v>107</v>
      </c>
      <c r="Y39">
        <v>1</v>
      </c>
      <c r="Z39">
        <v>0</v>
      </c>
      <c r="AA39">
        <v>0</v>
      </c>
    </row>
    <row r="40" spans="1:27" x14ac:dyDescent="0.3">
      <c r="A40" t="s">
        <v>142</v>
      </c>
      <c r="B40" s="15">
        <v>45931</v>
      </c>
      <c r="C40" t="s">
        <v>93</v>
      </c>
      <c r="D40" t="s">
        <v>55</v>
      </c>
      <c r="E40" t="s">
        <v>387</v>
      </c>
      <c r="F40" t="s">
        <v>388</v>
      </c>
      <c r="G40" t="s">
        <v>389</v>
      </c>
      <c r="H40" t="s">
        <v>390</v>
      </c>
      <c r="I40" t="s">
        <v>391</v>
      </c>
      <c r="J40" t="s">
        <v>392</v>
      </c>
      <c r="K40" t="s">
        <v>393</v>
      </c>
      <c r="L40" t="s">
        <v>87</v>
      </c>
      <c r="M40" t="s">
        <v>88</v>
      </c>
      <c r="N40" t="s">
        <v>89</v>
      </c>
      <c r="O40" t="s">
        <v>150</v>
      </c>
      <c r="P40" t="s">
        <v>82</v>
      </c>
      <c r="Q40" t="s">
        <v>394</v>
      </c>
      <c r="R40" t="s">
        <v>395</v>
      </c>
      <c r="S40" t="s">
        <v>396</v>
      </c>
      <c r="T40" s="15">
        <v>47358</v>
      </c>
      <c r="U40">
        <v>1240</v>
      </c>
      <c r="V40">
        <v>2.52</v>
      </c>
      <c r="W40" t="s">
        <v>70</v>
      </c>
      <c r="X40" t="s">
        <v>85</v>
      </c>
      <c r="Y40">
        <v>1</v>
      </c>
      <c r="Z40">
        <v>0</v>
      </c>
      <c r="AA40">
        <v>1</v>
      </c>
    </row>
    <row r="41" spans="1:27" x14ac:dyDescent="0.3">
      <c r="A41" t="s">
        <v>397</v>
      </c>
      <c r="B41" s="15">
        <v>45931</v>
      </c>
      <c r="C41" t="s">
        <v>398</v>
      </c>
      <c r="D41" t="s">
        <v>55</v>
      </c>
      <c r="E41" t="s">
        <v>143</v>
      </c>
      <c r="F41" t="s">
        <v>144</v>
      </c>
      <c r="G41" t="s">
        <v>145</v>
      </c>
      <c r="H41" t="s">
        <v>146</v>
      </c>
      <c r="I41" t="s">
        <v>147</v>
      </c>
      <c r="J41" t="s">
        <v>148</v>
      </c>
      <c r="K41" t="s">
        <v>149</v>
      </c>
      <c r="L41" t="s">
        <v>170</v>
      </c>
      <c r="M41" t="s">
        <v>171</v>
      </c>
      <c r="N41" t="s">
        <v>172</v>
      </c>
      <c r="O41" t="s">
        <v>399</v>
      </c>
      <c r="P41" t="s">
        <v>82</v>
      </c>
      <c r="Q41" t="s">
        <v>151</v>
      </c>
      <c r="R41" t="s">
        <v>152</v>
      </c>
      <c r="S41" t="s">
        <v>153</v>
      </c>
      <c r="T41" s="15">
        <v>47538</v>
      </c>
      <c r="U41">
        <v>1200</v>
      </c>
      <c r="V41">
        <v>2.98</v>
      </c>
      <c r="W41" t="s">
        <v>70</v>
      </c>
      <c r="X41" t="s">
        <v>85</v>
      </c>
      <c r="Y41">
        <v>1</v>
      </c>
      <c r="Z41">
        <v>0</v>
      </c>
      <c r="AA41">
        <v>0</v>
      </c>
    </row>
    <row r="42" spans="1:27" x14ac:dyDescent="0.3">
      <c r="A42" t="s">
        <v>397</v>
      </c>
      <c r="B42" s="15">
        <v>45931</v>
      </c>
      <c r="C42" t="s">
        <v>398</v>
      </c>
      <c r="D42" t="s">
        <v>55</v>
      </c>
      <c r="E42" t="s">
        <v>154</v>
      </c>
      <c r="F42" t="s">
        <v>155</v>
      </c>
      <c r="G42" t="s">
        <v>156</v>
      </c>
      <c r="H42" t="s">
        <v>157</v>
      </c>
      <c r="I42" t="s">
        <v>158</v>
      </c>
      <c r="J42" t="s">
        <v>139</v>
      </c>
      <c r="K42" t="s">
        <v>140</v>
      </c>
      <c r="L42" t="s">
        <v>170</v>
      </c>
      <c r="M42" t="s">
        <v>171</v>
      </c>
      <c r="N42" t="s">
        <v>172</v>
      </c>
      <c r="O42" t="s">
        <v>399</v>
      </c>
      <c r="P42" t="s">
        <v>82</v>
      </c>
      <c r="Q42" t="s">
        <v>159</v>
      </c>
      <c r="R42" t="s">
        <v>160</v>
      </c>
      <c r="S42" t="s">
        <v>161</v>
      </c>
      <c r="T42" s="15">
        <v>47389</v>
      </c>
      <c r="U42">
        <v>1200</v>
      </c>
      <c r="V42">
        <v>4.24</v>
      </c>
      <c r="W42" t="s">
        <v>70</v>
      </c>
      <c r="X42" t="s">
        <v>85</v>
      </c>
      <c r="Y42">
        <v>1</v>
      </c>
      <c r="Z42">
        <v>0</v>
      </c>
      <c r="AA42">
        <v>0</v>
      </c>
    </row>
    <row r="43" spans="1:27" x14ac:dyDescent="0.3">
      <c r="A43" t="s">
        <v>400</v>
      </c>
      <c r="B43" s="15">
        <v>45752</v>
      </c>
      <c r="C43" t="s">
        <v>54</v>
      </c>
      <c r="D43" t="s">
        <v>55</v>
      </c>
      <c r="E43" t="s">
        <v>401</v>
      </c>
      <c r="F43" t="s">
        <v>402</v>
      </c>
      <c r="G43" t="s">
        <v>403</v>
      </c>
      <c r="H43" t="s">
        <v>404</v>
      </c>
      <c r="I43" t="s">
        <v>405</v>
      </c>
      <c r="J43" t="s">
        <v>406</v>
      </c>
      <c r="K43" t="s">
        <v>407</v>
      </c>
      <c r="L43" t="s">
        <v>63</v>
      </c>
      <c r="M43" t="s">
        <v>214</v>
      </c>
      <c r="N43" t="s">
        <v>215</v>
      </c>
      <c r="O43" t="s">
        <v>408</v>
      </c>
      <c r="P43" t="s">
        <v>409</v>
      </c>
      <c r="Q43" t="s">
        <v>410</v>
      </c>
      <c r="R43" t="s">
        <v>411</v>
      </c>
      <c r="S43" t="s">
        <v>412</v>
      </c>
      <c r="T43" s="15">
        <v>46637</v>
      </c>
      <c r="U43">
        <v>1161</v>
      </c>
      <c r="V43">
        <v>6.18</v>
      </c>
      <c r="W43" t="s">
        <v>70</v>
      </c>
      <c r="X43" t="s">
        <v>123</v>
      </c>
      <c r="Y43">
        <v>1</v>
      </c>
      <c r="Z43">
        <v>0</v>
      </c>
      <c r="AA43">
        <v>0</v>
      </c>
    </row>
    <row r="44" spans="1:27" x14ac:dyDescent="0.3">
      <c r="A44" t="s">
        <v>142</v>
      </c>
      <c r="B44" s="15">
        <v>45931</v>
      </c>
      <c r="C44" t="s">
        <v>93</v>
      </c>
      <c r="D44" t="s">
        <v>55</v>
      </c>
      <c r="E44" t="s">
        <v>413</v>
      </c>
      <c r="F44" t="s">
        <v>414</v>
      </c>
      <c r="G44" t="s">
        <v>415</v>
      </c>
      <c r="H44" t="s">
        <v>416</v>
      </c>
      <c r="I44" t="s">
        <v>417</v>
      </c>
      <c r="J44" t="s">
        <v>418</v>
      </c>
      <c r="K44" t="s">
        <v>419</v>
      </c>
      <c r="L44" t="s">
        <v>87</v>
      </c>
      <c r="M44" t="s">
        <v>88</v>
      </c>
      <c r="N44" t="s">
        <v>89</v>
      </c>
      <c r="O44" t="s">
        <v>150</v>
      </c>
      <c r="P44" t="s">
        <v>82</v>
      </c>
      <c r="Q44" t="s">
        <v>420</v>
      </c>
      <c r="R44" t="s">
        <v>421</v>
      </c>
      <c r="S44" t="s">
        <v>422</v>
      </c>
      <c r="T44" s="15">
        <v>46719</v>
      </c>
      <c r="U44">
        <v>1150</v>
      </c>
      <c r="V44">
        <v>3.9</v>
      </c>
      <c r="W44" t="s">
        <v>70</v>
      </c>
      <c r="X44" t="s">
        <v>85</v>
      </c>
      <c r="Y44">
        <v>1</v>
      </c>
      <c r="Z44">
        <v>0</v>
      </c>
      <c r="AA44">
        <v>0</v>
      </c>
    </row>
    <row r="45" spans="1:27" x14ac:dyDescent="0.3">
      <c r="A45" t="s">
        <v>307</v>
      </c>
      <c r="B45" s="15">
        <v>45842</v>
      </c>
      <c r="C45" t="s">
        <v>272</v>
      </c>
      <c r="D45" t="s">
        <v>55</v>
      </c>
      <c r="E45" t="s">
        <v>423</v>
      </c>
      <c r="F45" t="s">
        <v>424</v>
      </c>
      <c r="G45" t="s">
        <v>425</v>
      </c>
      <c r="H45" t="s">
        <v>426</v>
      </c>
      <c r="I45" t="s">
        <v>427</v>
      </c>
      <c r="J45" t="s">
        <v>428</v>
      </c>
      <c r="K45" t="s">
        <v>429</v>
      </c>
      <c r="L45" t="s">
        <v>170</v>
      </c>
      <c r="M45" t="s">
        <v>171</v>
      </c>
      <c r="N45" t="s">
        <v>172</v>
      </c>
      <c r="O45" t="s">
        <v>312</v>
      </c>
      <c r="P45" t="s">
        <v>67</v>
      </c>
      <c r="Q45" t="s">
        <v>430</v>
      </c>
      <c r="R45" t="s">
        <v>431</v>
      </c>
      <c r="S45" t="s">
        <v>432</v>
      </c>
      <c r="T45" s="15">
        <v>47450</v>
      </c>
      <c r="U45">
        <v>1130</v>
      </c>
      <c r="V45">
        <v>18.7</v>
      </c>
      <c r="W45" t="s">
        <v>70</v>
      </c>
      <c r="X45" t="s">
        <v>107</v>
      </c>
      <c r="Y45">
        <v>1</v>
      </c>
      <c r="Z45">
        <v>0</v>
      </c>
      <c r="AA45">
        <v>0</v>
      </c>
    </row>
    <row r="46" spans="1:27" x14ac:dyDescent="0.3">
      <c r="A46" t="s">
        <v>355</v>
      </c>
      <c r="B46" s="15">
        <v>45842</v>
      </c>
      <c r="C46" t="s">
        <v>93</v>
      </c>
      <c r="D46" t="s">
        <v>55</v>
      </c>
      <c r="E46" t="s">
        <v>433</v>
      </c>
      <c r="F46" t="s">
        <v>434</v>
      </c>
      <c r="G46" t="s">
        <v>435</v>
      </c>
      <c r="H46" t="s">
        <v>436</v>
      </c>
      <c r="I46" t="s">
        <v>254</v>
      </c>
      <c r="J46" t="s">
        <v>139</v>
      </c>
      <c r="K46" t="s">
        <v>140</v>
      </c>
      <c r="L46" t="s">
        <v>100</v>
      </c>
      <c r="M46" t="s">
        <v>101</v>
      </c>
      <c r="N46" t="s">
        <v>102</v>
      </c>
      <c r="O46" t="s">
        <v>360</v>
      </c>
      <c r="P46" t="s">
        <v>82</v>
      </c>
      <c r="Q46" t="s">
        <v>198</v>
      </c>
      <c r="R46" t="s">
        <v>199</v>
      </c>
      <c r="S46" t="s">
        <v>437</v>
      </c>
      <c r="T46" s="15">
        <v>46474</v>
      </c>
      <c r="U46">
        <v>1061</v>
      </c>
      <c r="V46">
        <v>7.03</v>
      </c>
      <c r="W46" t="s">
        <v>70</v>
      </c>
      <c r="X46" t="s">
        <v>107</v>
      </c>
      <c r="Y46">
        <v>1</v>
      </c>
      <c r="Z46">
        <v>0</v>
      </c>
      <c r="AA46">
        <v>0</v>
      </c>
    </row>
    <row r="47" spans="1:27" x14ac:dyDescent="0.3">
      <c r="A47" t="s">
        <v>206</v>
      </c>
      <c r="B47" s="15">
        <v>45931</v>
      </c>
      <c r="C47" t="s">
        <v>95</v>
      </c>
      <c r="D47" t="s">
        <v>55</v>
      </c>
      <c r="E47" t="s">
        <v>438</v>
      </c>
      <c r="F47" t="s">
        <v>439</v>
      </c>
      <c r="G47" t="s">
        <v>440</v>
      </c>
      <c r="H47" t="s">
        <v>224</v>
      </c>
      <c r="I47" t="s">
        <v>113</v>
      </c>
      <c r="J47" t="s">
        <v>441</v>
      </c>
      <c r="K47" t="s">
        <v>442</v>
      </c>
      <c r="L47" t="s">
        <v>63</v>
      </c>
      <c r="M47" t="s">
        <v>214</v>
      </c>
      <c r="N47" t="s">
        <v>215</v>
      </c>
      <c r="O47" t="s">
        <v>216</v>
      </c>
      <c r="P47" t="s">
        <v>119</v>
      </c>
      <c r="Q47" t="s">
        <v>443</v>
      </c>
      <c r="R47" t="s">
        <v>444</v>
      </c>
      <c r="S47" t="s">
        <v>445</v>
      </c>
      <c r="T47" s="15">
        <v>46327</v>
      </c>
      <c r="U47">
        <v>1000</v>
      </c>
      <c r="V47">
        <v>101.67</v>
      </c>
      <c r="W47" t="s">
        <v>70</v>
      </c>
      <c r="X47" t="s">
        <v>85</v>
      </c>
      <c r="Y47">
        <v>1</v>
      </c>
      <c r="Z47">
        <v>0</v>
      </c>
      <c r="AA47">
        <v>0</v>
      </c>
    </row>
    <row r="48" spans="1:27" x14ac:dyDescent="0.3">
      <c r="A48" t="s">
        <v>446</v>
      </c>
      <c r="B48" s="15">
        <v>45931</v>
      </c>
      <c r="C48" t="s">
        <v>95</v>
      </c>
      <c r="D48" t="s">
        <v>55</v>
      </c>
      <c r="E48" t="s">
        <v>347</v>
      </c>
      <c r="F48" t="s">
        <v>447</v>
      </c>
      <c r="G48" t="s">
        <v>349</v>
      </c>
      <c r="H48" t="s">
        <v>448</v>
      </c>
      <c r="I48" t="s">
        <v>113</v>
      </c>
      <c r="J48" t="s">
        <v>114</v>
      </c>
      <c r="K48" t="s">
        <v>115</v>
      </c>
      <c r="L48" t="s">
        <v>63</v>
      </c>
      <c r="M48" t="s">
        <v>64</v>
      </c>
      <c r="N48" t="s">
        <v>65</v>
      </c>
      <c r="O48" t="s">
        <v>449</v>
      </c>
      <c r="P48" t="s">
        <v>119</v>
      </c>
      <c r="Q48" t="s">
        <v>450</v>
      </c>
      <c r="R48" t="s">
        <v>451</v>
      </c>
      <c r="S48" t="s">
        <v>452</v>
      </c>
      <c r="T48" s="15">
        <v>46140</v>
      </c>
      <c r="U48">
        <v>1000</v>
      </c>
      <c r="V48">
        <v>54.48</v>
      </c>
      <c r="W48" t="s">
        <v>70</v>
      </c>
      <c r="X48" t="s">
        <v>85</v>
      </c>
      <c r="Y48">
        <v>0</v>
      </c>
      <c r="Z48">
        <v>1</v>
      </c>
      <c r="AA48">
        <v>0</v>
      </c>
    </row>
    <row r="49" spans="1:27" x14ac:dyDescent="0.3">
      <c r="A49" t="s">
        <v>453</v>
      </c>
      <c r="B49" s="15">
        <v>45918</v>
      </c>
      <c r="C49" t="s">
        <v>95</v>
      </c>
      <c r="D49" t="s">
        <v>55</v>
      </c>
      <c r="E49" t="s">
        <v>454</v>
      </c>
      <c r="F49" t="s">
        <v>455</v>
      </c>
      <c r="G49" t="s">
        <v>456</v>
      </c>
      <c r="H49" t="s">
        <v>457</v>
      </c>
      <c r="I49" t="s">
        <v>458</v>
      </c>
      <c r="J49" t="s">
        <v>459</v>
      </c>
      <c r="K49" t="s">
        <v>460</v>
      </c>
      <c r="L49" t="s">
        <v>87</v>
      </c>
      <c r="M49" t="s">
        <v>461</v>
      </c>
      <c r="N49" t="s">
        <v>462</v>
      </c>
      <c r="O49" t="s">
        <v>463</v>
      </c>
      <c r="P49" t="s">
        <v>67</v>
      </c>
      <c r="Q49" t="s">
        <v>464</v>
      </c>
      <c r="R49" t="s">
        <v>465</v>
      </c>
      <c r="S49" t="s">
        <v>466</v>
      </c>
      <c r="T49" s="15">
        <v>47288</v>
      </c>
      <c r="U49">
        <v>1000</v>
      </c>
      <c r="V49">
        <v>10.77</v>
      </c>
      <c r="W49" t="s">
        <v>70</v>
      </c>
      <c r="X49" t="s">
        <v>71</v>
      </c>
      <c r="Y49">
        <v>1</v>
      </c>
      <c r="Z49">
        <v>0</v>
      </c>
      <c r="AA49">
        <v>0</v>
      </c>
    </row>
    <row r="50" spans="1:27" x14ac:dyDescent="0.3">
      <c r="A50" t="s">
        <v>467</v>
      </c>
      <c r="B50" s="15">
        <v>45918</v>
      </c>
      <c r="C50" t="s">
        <v>54</v>
      </c>
      <c r="D50" t="s">
        <v>55</v>
      </c>
      <c r="E50" t="s">
        <v>207</v>
      </c>
      <c r="F50" t="s">
        <v>468</v>
      </c>
      <c r="G50" t="s">
        <v>209</v>
      </c>
      <c r="H50" t="s">
        <v>469</v>
      </c>
      <c r="I50" t="s">
        <v>211</v>
      </c>
      <c r="J50" t="s">
        <v>212</v>
      </c>
      <c r="K50" t="s">
        <v>213</v>
      </c>
      <c r="L50" t="s">
        <v>63</v>
      </c>
      <c r="M50" t="s">
        <v>64</v>
      </c>
      <c r="N50" t="s">
        <v>65</v>
      </c>
      <c r="O50" t="s">
        <v>470</v>
      </c>
      <c r="P50" t="s">
        <v>119</v>
      </c>
      <c r="Q50" t="s">
        <v>471</v>
      </c>
      <c r="R50" t="s">
        <v>472</v>
      </c>
      <c r="S50" t="s">
        <v>473</v>
      </c>
      <c r="T50" s="15">
        <v>46231</v>
      </c>
      <c r="U50">
        <v>1000</v>
      </c>
      <c r="V50">
        <v>20</v>
      </c>
      <c r="W50" t="s">
        <v>70</v>
      </c>
      <c r="X50" t="s">
        <v>71</v>
      </c>
      <c r="Y50">
        <v>1</v>
      </c>
      <c r="Z50">
        <v>1</v>
      </c>
      <c r="AA50">
        <v>0</v>
      </c>
    </row>
    <row r="51" spans="1:27" x14ac:dyDescent="0.3">
      <c r="A51" t="s">
        <v>238</v>
      </c>
      <c r="B51" s="15">
        <v>45931</v>
      </c>
      <c r="C51" t="s">
        <v>179</v>
      </c>
      <c r="D51" t="s">
        <v>55</v>
      </c>
      <c r="E51" t="s">
        <v>201</v>
      </c>
      <c r="F51" t="s">
        <v>202</v>
      </c>
      <c r="G51" t="s">
        <v>203</v>
      </c>
      <c r="H51" t="s">
        <v>204</v>
      </c>
      <c r="I51" t="s">
        <v>138</v>
      </c>
      <c r="J51" t="s">
        <v>139</v>
      </c>
      <c r="K51" t="s">
        <v>140</v>
      </c>
      <c r="L51" t="s">
        <v>186</v>
      </c>
      <c r="M51" t="s">
        <v>239</v>
      </c>
      <c r="N51" t="s">
        <v>240</v>
      </c>
      <c r="O51" t="s">
        <v>241</v>
      </c>
      <c r="P51" t="s">
        <v>82</v>
      </c>
      <c r="Q51" t="s">
        <v>198</v>
      </c>
      <c r="R51" t="s">
        <v>199</v>
      </c>
      <c r="S51" t="s">
        <v>205</v>
      </c>
      <c r="T51" s="15">
        <v>46566</v>
      </c>
      <c r="U51">
        <v>976</v>
      </c>
      <c r="V51">
        <v>7.03</v>
      </c>
      <c r="W51" t="s">
        <v>70</v>
      </c>
      <c r="X51" t="s">
        <v>85</v>
      </c>
      <c r="Y51">
        <v>1</v>
      </c>
      <c r="Z51">
        <v>0</v>
      </c>
      <c r="AA51">
        <v>0</v>
      </c>
    </row>
    <row r="52" spans="1:27" x14ac:dyDescent="0.3">
      <c r="A52" t="s">
        <v>371</v>
      </c>
      <c r="B52" s="15">
        <v>45752</v>
      </c>
      <c r="C52" t="s">
        <v>54</v>
      </c>
      <c r="D52" t="s">
        <v>55</v>
      </c>
      <c r="E52" t="s">
        <v>474</v>
      </c>
      <c r="F52" t="s">
        <v>475</v>
      </c>
      <c r="G52" t="s">
        <v>476</v>
      </c>
      <c r="H52" t="s">
        <v>477</v>
      </c>
      <c r="I52" t="s">
        <v>277</v>
      </c>
      <c r="J52" t="s">
        <v>278</v>
      </c>
      <c r="K52" t="s">
        <v>279</v>
      </c>
      <c r="L52" t="s">
        <v>63</v>
      </c>
      <c r="M52" t="s">
        <v>116</v>
      </c>
      <c r="N52" t="s">
        <v>117</v>
      </c>
      <c r="O52" t="s">
        <v>373</v>
      </c>
      <c r="P52" t="s">
        <v>67</v>
      </c>
      <c r="Q52" t="s">
        <v>384</v>
      </c>
      <c r="R52" t="s">
        <v>385</v>
      </c>
      <c r="S52" t="s">
        <v>478</v>
      </c>
      <c r="T52" s="15">
        <v>46082</v>
      </c>
      <c r="U52">
        <v>950</v>
      </c>
      <c r="V52">
        <v>1.71</v>
      </c>
      <c r="W52" t="s">
        <v>70</v>
      </c>
      <c r="X52" t="s">
        <v>123</v>
      </c>
      <c r="Y52">
        <v>1</v>
      </c>
      <c r="Z52">
        <v>0</v>
      </c>
      <c r="AA52">
        <v>1</v>
      </c>
    </row>
    <row r="53" spans="1:27" x14ac:dyDescent="0.3">
      <c r="A53" t="s">
        <v>238</v>
      </c>
      <c r="B53" s="15">
        <v>45931</v>
      </c>
      <c r="C53" t="s">
        <v>179</v>
      </c>
      <c r="D53" t="s">
        <v>55</v>
      </c>
      <c r="E53" t="s">
        <v>231</v>
      </c>
      <c r="F53" t="s">
        <v>232</v>
      </c>
      <c r="G53" t="s">
        <v>233</v>
      </c>
      <c r="H53" t="s">
        <v>234</v>
      </c>
      <c r="I53" t="s">
        <v>138</v>
      </c>
      <c r="J53" t="s">
        <v>139</v>
      </c>
      <c r="K53" t="s">
        <v>140</v>
      </c>
      <c r="L53" t="s">
        <v>186</v>
      </c>
      <c r="M53" t="s">
        <v>239</v>
      </c>
      <c r="N53" t="s">
        <v>240</v>
      </c>
      <c r="O53" t="s">
        <v>241</v>
      </c>
      <c r="P53" t="s">
        <v>82</v>
      </c>
      <c r="Q53" t="s">
        <v>235</v>
      </c>
      <c r="R53" t="s">
        <v>236</v>
      </c>
      <c r="S53" t="s">
        <v>237</v>
      </c>
      <c r="T53" s="15">
        <v>46535</v>
      </c>
      <c r="U53">
        <v>948</v>
      </c>
      <c r="V53">
        <v>8.4600000000000009</v>
      </c>
      <c r="W53" t="s">
        <v>70</v>
      </c>
      <c r="X53" t="s">
        <v>85</v>
      </c>
      <c r="Y53">
        <v>1</v>
      </c>
      <c r="Z53">
        <v>0</v>
      </c>
      <c r="AA53">
        <v>0</v>
      </c>
    </row>
    <row r="54" spans="1:27" x14ac:dyDescent="0.3">
      <c r="A54" t="s">
        <v>142</v>
      </c>
      <c r="B54" s="15">
        <v>45931</v>
      </c>
      <c r="C54" t="s">
        <v>93</v>
      </c>
      <c r="D54" t="s">
        <v>55</v>
      </c>
      <c r="E54" t="s">
        <v>479</v>
      </c>
      <c r="F54" t="s">
        <v>480</v>
      </c>
      <c r="G54" t="s">
        <v>481</v>
      </c>
      <c r="H54" t="s">
        <v>482</v>
      </c>
      <c r="I54" t="s">
        <v>483</v>
      </c>
      <c r="J54" t="s">
        <v>484</v>
      </c>
      <c r="K54" t="s">
        <v>485</v>
      </c>
      <c r="L54" t="s">
        <v>87</v>
      </c>
      <c r="M54" t="s">
        <v>88</v>
      </c>
      <c r="N54" t="s">
        <v>89</v>
      </c>
      <c r="O54" t="s">
        <v>150</v>
      </c>
      <c r="P54" t="s">
        <v>82</v>
      </c>
      <c r="Q54" t="s">
        <v>486</v>
      </c>
      <c r="R54" t="s">
        <v>487</v>
      </c>
      <c r="S54" t="s">
        <v>488</v>
      </c>
      <c r="T54" s="15">
        <v>47358</v>
      </c>
      <c r="U54">
        <v>942</v>
      </c>
      <c r="V54">
        <v>2.85</v>
      </c>
      <c r="W54" t="s">
        <v>70</v>
      </c>
      <c r="X54" t="s">
        <v>85</v>
      </c>
      <c r="Y54">
        <v>0</v>
      </c>
      <c r="Z54">
        <v>0</v>
      </c>
      <c r="AA54">
        <v>0</v>
      </c>
    </row>
    <row r="55" spans="1:27" x14ac:dyDescent="0.3">
      <c r="A55" t="s">
        <v>355</v>
      </c>
      <c r="B55" s="15">
        <v>45842</v>
      </c>
      <c r="C55" t="s">
        <v>93</v>
      </c>
      <c r="D55" t="s">
        <v>55</v>
      </c>
      <c r="E55" t="s">
        <v>489</v>
      </c>
      <c r="F55" t="s">
        <v>490</v>
      </c>
      <c r="G55" t="s">
        <v>491</v>
      </c>
      <c r="H55" t="s">
        <v>492</v>
      </c>
      <c r="I55" t="s">
        <v>254</v>
      </c>
      <c r="J55" t="s">
        <v>139</v>
      </c>
      <c r="K55" t="s">
        <v>140</v>
      </c>
      <c r="L55" t="s">
        <v>100</v>
      </c>
      <c r="M55" t="s">
        <v>101</v>
      </c>
      <c r="N55" t="s">
        <v>102</v>
      </c>
      <c r="O55" t="s">
        <v>360</v>
      </c>
      <c r="P55" t="s">
        <v>82</v>
      </c>
      <c r="Q55" t="s">
        <v>493</v>
      </c>
      <c r="R55" t="s">
        <v>494</v>
      </c>
      <c r="S55" t="s">
        <v>495</v>
      </c>
      <c r="T55" s="15">
        <v>46474</v>
      </c>
      <c r="U55">
        <v>924</v>
      </c>
      <c r="V55">
        <v>13.57</v>
      </c>
      <c r="W55" t="s">
        <v>70</v>
      </c>
      <c r="X55" t="s">
        <v>107</v>
      </c>
      <c r="Y55">
        <v>1</v>
      </c>
      <c r="Z55">
        <v>0</v>
      </c>
      <c r="AA55">
        <v>0</v>
      </c>
    </row>
    <row r="56" spans="1:27" x14ac:dyDescent="0.3">
      <c r="A56" t="s">
        <v>371</v>
      </c>
      <c r="B56" s="15">
        <v>45752</v>
      </c>
      <c r="C56" t="s">
        <v>54</v>
      </c>
      <c r="D56" t="s">
        <v>55</v>
      </c>
      <c r="E56" t="s">
        <v>96</v>
      </c>
      <c r="F56" t="s">
        <v>97</v>
      </c>
      <c r="G56" t="s">
        <v>98</v>
      </c>
      <c r="H56" t="s">
        <v>99</v>
      </c>
      <c r="I56" t="s">
        <v>60</v>
      </c>
      <c r="J56" t="s">
        <v>61</v>
      </c>
      <c r="K56" t="s">
        <v>62</v>
      </c>
      <c r="L56" t="s">
        <v>63</v>
      </c>
      <c r="M56" t="s">
        <v>116</v>
      </c>
      <c r="N56" t="s">
        <v>117</v>
      </c>
      <c r="O56" t="s">
        <v>373</v>
      </c>
      <c r="P56" t="s">
        <v>67</v>
      </c>
      <c r="Q56" t="s">
        <v>104</v>
      </c>
      <c r="R56" t="s">
        <v>105</v>
      </c>
      <c r="S56" t="s">
        <v>106</v>
      </c>
      <c r="T56" s="15">
        <v>46962</v>
      </c>
      <c r="U56">
        <v>901</v>
      </c>
      <c r="V56">
        <v>6.95</v>
      </c>
      <c r="W56" t="s">
        <v>70</v>
      </c>
      <c r="X56" t="s">
        <v>123</v>
      </c>
      <c r="Y56">
        <v>1</v>
      </c>
      <c r="Z56">
        <v>0</v>
      </c>
      <c r="AA56">
        <v>0</v>
      </c>
    </row>
    <row r="57" spans="1:27" x14ac:dyDescent="0.3">
      <c r="A57" t="s">
        <v>496</v>
      </c>
      <c r="B57" s="15">
        <v>45931</v>
      </c>
      <c r="C57" t="s">
        <v>497</v>
      </c>
      <c r="D57" t="s">
        <v>55</v>
      </c>
      <c r="E57" t="s">
        <v>74</v>
      </c>
      <c r="F57" t="s">
        <v>75</v>
      </c>
      <c r="G57" t="s">
        <v>76</v>
      </c>
      <c r="H57" t="s">
        <v>77</v>
      </c>
      <c r="I57" t="s">
        <v>78</v>
      </c>
      <c r="J57" t="s">
        <v>79</v>
      </c>
      <c r="K57" t="s">
        <v>80</v>
      </c>
      <c r="L57" t="s">
        <v>498</v>
      </c>
      <c r="M57" t="s">
        <v>499</v>
      </c>
      <c r="N57" t="s">
        <v>500</v>
      </c>
      <c r="O57" t="s">
        <v>501</v>
      </c>
      <c r="P57" t="s">
        <v>82</v>
      </c>
      <c r="Q57" t="s">
        <v>83</v>
      </c>
      <c r="R57" t="s">
        <v>92</v>
      </c>
      <c r="S57" t="s">
        <v>84</v>
      </c>
      <c r="T57" s="15">
        <v>46384</v>
      </c>
      <c r="U57">
        <v>863</v>
      </c>
      <c r="V57">
        <v>6.65</v>
      </c>
      <c r="W57" t="s">
        <v>70</v>
      </c>
      <c r="X57" t="s">
        <v>85</v>
      </c>
      <c r="Y57">
        <v>1</v>
      </c>
      <c r="Z57">
        <v>0</v>
      </c>
      <c r="AA57">
        <v>0</v>
      </c>
    </row>
    <row r="58" spans="1:27" x14ac:dyDescent="0.3">
      <c r="A58" t="s">
        <v>502</v>
      </c>
      <c r="B58" s="15">
        <v>45931</v>
      </c>
      <c r="C58" t="s">
        <v>503</v>
      </c>
      <c r="D58" t="s">
        <v>55</v>
      </c>
      <c r="E58" t="s">
        <v>74</v>
      </c>
      <c r="F58" t="s">
        <v>75</v>
      </c>
      <c r="G58" t="s">
        <v>76</v>
      </c>
      <c r="H58" t="s">
        <v>77</v>
      </c>
      <c r="I58" t="s">
        <v>78</v>
      </c>
      <c r="J58" t="s">
        <v>79</v>
      </c>
      <c r="K58" t="s">
        <v>80</v>
      </c>
      <c r="L58" t="s">
        <v>186</v>
      </c>
      <c r="M58" t="s">
        <v>504</v>
      </c>
      <c r="N58" t="s">
        <v>505</v>
      </c>
      <c r="O58" t="s">
        <v>506</v>
      </c>
      <c r="P58" t="s">
        <v>82</v>
      </c>
      <c r="Q58" t="s">
        <v>83</v>
      </c>
      <c r="R58" t="s">
        <v>92</v>
      </c>
      <c r="S58" t="s">
        <v>84</v>
      </c>
      <c r="T58" s="15">
        <v>46384</v>
      </c>
      <c r="U58">
        <v>863</v>
      </c>
      <c r="V58">
        <v>6.65</v>
      </c>
      <c r="W58" t="s">
        <v>70</v>
      </c>
      <c r="X58" t="s">
        <v>85</v>
      </c>
      <c r="Y58">
        <v>1</v>
      </c>
      <c r="Z58">
        <v>0</v>
      </c>
      <c r="AA58">
        <v>0</v>
      </c>
    </row>
    <row r="59" spans="1:27" x14ac:dyDescent="0.3">
      <c r="A59" t="s">
        <v>507</v>
      </c>
      <c r="B59" s="15">
        <v>45931</v>
      </c>
      <c r="C59" t="s">
        <v>497</v>
      </c>
      <c r="D59" t="s">
        <v>55</v>
      </c>
      <c r="E59" t="s">
        <v>74</v>
      </c>
      <c r="F59" t="s">
        <v>75</v>
      </c>
      <c r="G59" t="s">
        <v>76</v>
      </c>
      <c r="H59" t="s">
        <v>77</v>
      </c>
      <c r="I59" t="s">
        <v>78</v>
      </c>
      <c r="J59" t="s">
        <v>79</v>
      </c>
      <c r="K59" t="s">
        <v>80</v>
      </c>
      <c r="L59" t="s">
        <v>170</v>
      </c>
      <c r="M59" t="s">
        <v>508</v>
      </c>
      <c r="N59" t="s">
        <v>509</v>
      </c>
      <c r="O59" t="s">
        <v>510</v>
      </c>
      <c r="P59" t="s">
        <v>82</v>
      </c>
      <c r="Q59" t="s">
        <v>83</v>
      </c>
      <c r="R59" t="s">
        <v>92</v>
      </c>
      <c r="S59" t="s">
        <v>84</v>
      </c>
      <c r="T59" s="15">
        <v>46384</v>
      </c>
      <c r="U59">
        <v>863</v>
      </c>
      <c r="V59">
        <v>6.65</v>
      </c>
      <c r="W59" t="s">
        <v>70</v>
      </c>
      <c r="X59" t="s">
        <v>85</v>
      </c>
      <c r="Y59">
        <v>1</v>
      </c>
      <c r="Z59">
        <v>0</v>
      </c>
      <c r="AA59">
        <v>0</v>
      </c>
    </row>
    <row r="60" spans="1:27" x14ac:dyDescent="0.3">
      <c r="A60" t="s">
        <v>511</v>
      </c>
      <c r="B60" s="15">
        <v>45931</v>
      </c>
      <c r="C60" t="s">
        <v>73</v>
      </c>
      <c r="D60" t="s">
        <v>55</v>
      </c>
      <c r="E60" t="s">
        <v>74</v>
      </c>
      <c r="F60" t="s">
        <v>75</v>
      </c>
      <c r="G60" t="s">
        <v>76</v>
      </c>
      <c r="H60" t="s">
        <v>77</v>
      </c>
      <c r="I60" t="s">
        <v>78</v>
      </c>
      <c r="J60" t="s">
        <v>79</v>
      </c>
      <c r="K60" t="s">
        <v>80</v>
      </c>
      <c r="L60" t="s">
        <v>170</v>
      </c>
      <c r="M60" t="s">
        <v>512</v>
      </c>
      <c r="N60" t="s">
        <v>513</v>
      </c>
      <c r="O60" t="s">
        <v>514</v>
      </c>
      <c r="P60" t="s">
        <v>82</v>
      </c>
      <c r="Q60" t="s">
        <v>83</v>
      </c>
      <c r="R60" t="s">
        <v>92</v>
      </c>
      <c r="S60" t="s">
        <v>84</v>
      </c>
      <c r="T60" s="15">
        <v>46384</v>
      </c>
      <c r="U60">
        <v>863</v>
      </c>
      <c r="V60">
        <v>6.65</v>
      </c>
      <c r="W60" t="s">
        <v>70</v>
      </c>
      <c r="X60" t="s">
        <v>85</v>
      </c>
      <c r="Y60">
        <v>1</v>
      </c>
      <c r="Z60">
        <v>0</v>
      </c>
      <c r="AA60">
        <v>0</v>
      </c>
    </row>
    <row r="61" spans="1:27" x14ac:dyDescent="0.3">
      <c r="A61" t="s">
        <v>238</v>
      </c>
      <c r="B61" s="15">
        <v>45931</v>
      </c>
      <c r="C61" t="s">
        <v>179</v>
      </c>
      <c r="D61" t="s">
        <v>55</v>
      </c>
      <c r="E61" t="s">
        <v>250</v>
      </c>
      <c r="F61" t="s">
        <v>251</v>
      </c>
      <c r="G61" t="s">
        <v>252</v>
      </c>
      <c r="H61" t="s">
        <v>253</v>
      </c>
      <c r="I61" t="s">
        <v>254</v>
      </c>
      <c r="J61" t="s">
        <v>139</v>
      </c>
      <c r="K61" t="s">
        <v>140</v>
      </c>
      <c r="L61" t="s">
        <v>186</v>
      </c>
      <c r="M61" t="s">
        <v>239</v>
      </c>
      <c r="N61" t="s">
        <v>240</v>
      </c>
      <c r="O61" t="s">
        <v>241</v>
      </c>
      <c r="P61" t="s">
        <v>82</v>
      </c>
      <c r="Q61" t="s">
        <v>255</v>
      </c>
      <c r="R61" t="s">
        <v>256</v>
      </c>
      <c r="S61" t="s">
        <v>257</v>
      </c>
      <c r="T61" s="15">
        <v>46474</v>
      </c>
      <c r="U61">
        <v>844</v>
      </c>
      <c r="V61">
        <v>8.4</v>
      </c>
      <c r="W61" t="s">
        <v>70</v>
      </c>
      <c r="X61" t="s">
        <v>85</v>
      </c>
      <c r="Y61">
        <v>1</v>
      </c>
      <c r="Z61">
        <v>0</v>
      </c>
      <c r="AA61">
        <v>0</v>
      </c>
    </row>
    <row r="62" spans="1:27" x14ac:dyDescent="0.3">
      <c r="A62" t="s">
        <v>339</v>
      </c>
      <c r="B62" s="15">
        <v>45815</v>
      </c>
      <c r="C62" t="s">
        <v>95</v>
      </c>
      <c r="D62" t="s">
        <v>55</v>
      </c>
      <c r="E62" t="s">
        <v>515</v>
      </c>
      <c r="F62" t="s">
        <v>516</v>
      </c>
      <c r="G62" t="s">
        <v>517</v>
      </c>
      <c r="H62" t="s">
        <v>518</v>
      </c>
      <c r="I62" t="s">
        <v>113</v>
      </c>
      <c r="J62" t="s">
        <v>519</v>
      </c>
      <c r="K62" t="s">
        <v>520</v>
      </c>
      <c r="L62" t="s">
        <v>170</v>
      </c>
      <c r="M62" t="s">
        <v>171</v>
      </c>
      <c r="N62" t="s">
        <v>172</v>
      </c>
      <c r="O62" t="s">
        <v>344</v>
      </c>
      <c r="P62" t="s">
        <v>119</v>
      </c>
      <c r="Q62" t="s">
        <v>384</v>
      </c>
      <c r="R62" t="s">
        <v>385</v>
      </c>
      <c r="S62" t="s">
        <v>521</v>
      </c>
      <c r="T62" s="15">
        <v>46811</v>
      </c>
      <c r="U62">
        <v>825</v>
      </c>
      <c r="V62">
        <v>8.5399999999999991</v>
      </c>
      <c r="W62" t="s">
        <v>70</v>
      </c>
      <c r="X62" t="s">
        <v>177</v>
      </c>
      <c r="Y62">
        <v>1</v>
      </c>
      <c r="Z62">
        <v>0</v>
      </c>
      <c r="AA62">
        <v>0</v>
      </c>
    </row>
    <row r="63" spans="1:27" x14ac:dyDescent="0.3">
      <c r="A63" t="s">
        <v>94</v>
      </c>
      <c r="B63" s="15">
        <v>45842</v>
      </c>
      <c r="C63" t="s">
        <v>95</v>
      </c>
      <c r="D63" t="s">
        <v>55</v>
      </c>
      <c r="E63" t="s">
        <v>377</v>
      </c>
      <c r="F63" t="s">
        <v>378</v>
      </c>
      <c r="G63" t="s">
        <v>379</v>
      </c>
      <c r="H63" t="s">
        <v>380</v>
      </c>
      <c r="I63" t="s">
        <v>381</v>
      </c>
      <c r="J63" t="s">
        <v>382</v>
      </c>
      <c r="K63" t="s">
        <v>383</v>
      </c>
      <c r="L63" t="s">
        <v>100</v>
      </c>
      <c r="M63" t="s">
        <v>101</v>
      </c>
      <c r="N63" t="s">
        <v>102</v>
      </c>
      <c r="O63" t="s">
        <v>103</v>
      </c>
      <c r="P63" t="s">
        <v>67</v>
      </c>
      <c r="Q63" t="s">
        <v>384</v>
      </c>
      <c r="R63" t="s">
        <v>385</v>
      </c>
      <c r="S63" t="s">
        <v>386</v>
      </c>
      <c r="T63" s="15">
        <v>47429</v>
      </c>
      <c r="U63">
        <v>800</v>
      </c>
      <c r="V63">
        <v>1.99</v>
      </c>
      <c r="W63" t="s">
        <v>70</v>
      </c>
      <c r="X63" t="s">
        <v>107</v>
      </c>
      <c r="Y63">
        <v>0</v>
      </c>
      <c r="Z63">
        <v>0</v>
      </c>
      <c r="AA63">
        <v>0</v>
      </c>
    </row>
    <row r="64" spans="1:27" x14ac:dyDescent="0.3">
      <c r="A64" t="s">
        <v>142</v>
      </c>
      <c r="B64" s="15">
        <v>45931</v>
      </c>
      <c r="C64" t="s">
        <v>93</v>
      </c>
      <c r="D64" t="s">
        <v>55</v>
      </c>
      <c r="E64" t="s">
        <v>273</v>
      </c>
      <c r="F64" t="s">
        <v>274</v>
      </c>
      <c r="G64" t="s">
        <v>275</v>
      </c>
      <c r="H64" t="s">
        <v>276</v>
      </c>
      <c r="I64" t="s">
        <v>277</v>
      </c>
      <c r="J64" t="s">
        <v>278</v>
      </c>
      <c r="K64" t="s">
        <v>279</v>
      </c>
      <c r="L64" t="s">
        <v>87</v>
      </c>
      <c r="M64" t="s">
        <v>88</v>
      </c>
      <c r="N64" t="s">
        <v>89</v>
      </c>
      <c r="O64" t="s">
        <v>150</v>
      </c>
      <c r="P64" t="s">
        <v>82</v>
      </c>
      <c r="Q64" t="s">
        <v>281</v>
      </c>
      <c r="R64" t="s">
        <v>282</v>
      </c>
      <c r="S64" t="s">
        <v>283</v>
      </c>
      <c r="T64" s="15">
        <v>46082</v>
      </c>
      <c r="U64">
        <v>800</v>
      </c>
      <c r="V64">
        <v>0.4</v>
      </c>
      <c r="W64" t="s">
        <v>70</v>
      </c>
      <c r="X64" t="s">
        <v>85</v>
      </c>
      <c r="Y64">
        <v>1</v>
      </c>
      <c r="Z64">
        <v>0</v>
      </c>
      <c r="AA64">
        <v>0</v>
      </c>
    </row>
    <row r="65" spans="1:27" x14ac:dyDescent="0.3">
      <c r="A65" t="s">
        <v>238</v>
      </c>
      <c r="B65" s="15">
        <v>45931</v>
      </c>
      <c r="C65" t="s">
        <v>179</v>
      </c>
      <c r="D65" t="s">
        <v>55</v>
      </c>
      <c r="E65" t="s">
        <v>293</v>
      </c>
      <c r="F65" t="s">
        <v>294</v>
      </c>
      <c r="G65" t="s">
        <v>295</v>
      </c>
      <c r="H65" t="s">
        <v>296</v>
      </c>
      <c r="I65" t="s">
        <v>128</v>
      </c>
      <c r="J65" t="s">
        <v>129</v>
      </c>
      <c r="K65" t="s">
        <v>130</v>
      </c>
      <c r="L65" t="s">
        <v>186</v>
      </c>
      <c r="M65" t="s">
        <v>239</v>
      </c>
      <c r="N65" t="s">
        <v>240</v>
      </c>
      <c r="O65" t="s">
        <v>241</v>
      </c>
      <c r="P65" t="s">
        <v>82</v>
      </c>
      <c r="Q65" t="s">
        <v>297</v>
      </c>
      <c r="R65" t="s">
        <v>298</v>
      </c>
      <c r="S65" t="s">
        <v>299</v>
      </c>
      <c r="T65" s="15">
        <v>46323</v>
      </c>
      <c r="U65">
        <v>800</v>
      </c>
      <c r="V65">
        <v>20.63</v>
      </c>
      <c r="W65" t="s">
        <v>70</v>
      </c>
      <c r="X65" t="s">
        <v>85</v>
      </c>
      <c r="Y65">
        <v>1</v>
      </c>
      <c r="Z65">
        <v>0</v>
      </c>
      <c r="AA65">
        <v>0</v>
      </c>
    </row>
    <row r="66" spans="1:27" x14ac:dyDescent="0.3">
      <c r="A66" t="s">
        <v>142</v>
      </c>
      <c r="B66" s="15">
        <v>45931</v>
      </c>
      <c r="C66" t="s">
        <v>93</v>
      </c>
      <c r="D66" t="s">
        <v>55</v>
      </c>
      <c r="E66" t="s">
        <v>522</v>
      </c>
      <c r="F66" t="s">
        <v>523</v>
      </c>
      <c r="G66" t="s">
        <v>524</v>
      </c>
      <c r="H66" t="s">
        <v>525</v>
      </c>
      <c r="I66" t="s">
        <v>526</v>
      </c>
      <c r="J66" t="s">
        <v>527</v>
      </c>
      <c r="K66" t="s">
        <v>528</v>
      </c>
      <c r="L66" t="s">
        <v>87</v>
      </c>
      <c r="M66" t="s">
        <v>88</v>
      </c>
      <c r="N66" t="s">
        <v>89</v>
      </c>
      <c r="O66" t="s">
        <v>150</v>
      </c>
      <c r="P66" t="s">
        <v>82</v>
      </c>
      <c r="Q66" t="s">
        <v>529</v>
      </c>
      <c r="R66" t="s">
        <v>530</v>
      </c>
      <c r="S66" t="s">
        <v>531</v>
      </c>
      <c r="T66" s="15">
        <v>47662</v>
      </c>
      <c r="U66">
        <v>800</v>
      </c>
      <c r="V66">
        <v>6.6</v>
      </c>
      <c r="W66" t="s">
        <v>70</v>
      </c>
      <c r="X66" t="s">
        <v>85</v>
      </c>
      <c r="Y66">
        <v>1</v>
      </c>
      <c r="Z66">
        <v>0</v>
      </c>
      <c r="AA66">
        <v>0</v>
      </c>
    </row>
    <row r="67" spans="1:27" x14ac:dyDescent="0.3">
      <c r="A67" t="s">
        <v>242</v>
      </c>
      <c r="B67" s="15">
        <v>45752</v>
      </c>
      <c r="C67" t="s">
        <v>179</v>
      </c>
      <c r="D67" t="s">
        <v>55</v>
      </c>
      <c r="E67" t="s">
        <v>532</v>
      </c>
      <c r="F67" t="s">
        <v>533</v>
      </c>
      <c r="G67" t="s">
        <v>534</v>
      </c>
      <c r="H67" t="s">
        <v>535</v>
      </c>
      <c r="I67" t="s">
        <v>247</v>
      </c>
      <c r="J67" t="s">
        <v>129</v>
      </c>
      <c r="K67" t="s">
        <v>130</v>
      </c>
      <c r="L67" t="s">
        <v>63</v>
      </c>
      <c r="M67" t="s">
        <v>214</v>
      </c>
      <c r="N67" t="s">
        <v>215</v>
      </c>
      <c r="O67" t="s">
        <v>248</v>
      </c>
      <c r="P67" t="s">
        <v>67</v>
      </c>
      <c r="Q67" t="s">
        <v>536</v>
      </c>
      <c r="R67" t="s">
        <v>537</v>
      </c>
      <c r="S67" t="s">
        <v>538</v>
      </c>
      <c r="T67" s="15">
        <v>46140</v>
      </c>
      <c r="U67">
        <v>799</v>
      </c>
      <c r="V67">
        <v>13.54</v>
      </c>
      <c r="W67" t="s">
        <v>70</v>
      </c>
      <c r="X67" t="s">
        <v>123</v>
      </c>
      <c r="Y67">
        <v>1</v>
      </c>
      <c r="Z67">
        <v>0</v>
      </c>
      <c r="AA67">
        <v>0</v>
      </c>
    </row>
    <row r="68" spans="1:27" x14ac:dyDescent="0.3">
      <c r="A68" t="s">
        <v>72</v>
      </c>
      <c r="B68" s="15">
        <v>45931</v>
      </c>
      <c r="C68" t="s">
        <v>73</v>
      </c>
      <c r="D68" t="s">
        <v>55</v>
      </c>
      <c r="E68" t="s">
        <v>539</v>
      </c>
      <c r="F68" t="s">
        <v>540</v>
      </c>
      <c r="G68" t="s">
        <v>541</v>
      </c>
      <c r="H68" t="s">
        <v>542</v>
      </c>
      <c r="I68" t="s">
        <v>543</v>
      </c>
      <c r="J68" t="s">
        <v>544</v>
      </c>
      <c r="K68" t="s">
        <v>545</v>
      </c>
      <c r="L68" t="s">
        <v>63</v>
      </c>
      <c r="M68" t="s">
        <v>64</v>
      </c>
      <c r="N68" t="s">
        <v>65</v>
      </c>
      <c r="O68" t="s">
        <v>81</v>
      </c>
      <c r="P68" t="s">
        <v>82</v>
      </c>
      <c r="Q68" t="s">
        <v>546</v>
      </c>
      <c r="R68" t="s">
        <v>547</v>
      </c>
      <c r="S68" t="s">
        <v>548</v>
      </c>
      <c r="T68" s="15">
        <v>47297</v>
      </c>
      <c r="U68">
        <v>776</v>
      </c>
      <c r="V68">
        <v>2.7</v>
      </c>
      <c r="W68" t="s">
        <v>70</v>
      </c>
      <c r="X68" t="s">
        <v>85</v>
      </c>
      <c r="Y68">
        <v>1</v>
      </c>
      <c r="Z68">
        <v>0</v>
      </c>
      <c r="AA68">
        <v>0</v>
      </c>
    </row>
    <row r="69" spans="1:27" x14ac:dyDescent="0.3">
      <c r="A69" t="s">
        <v>86</v>
      </c>
      <c r="B69" s="15">
        <v>45931</v>
      </c>
      <c r="C69" t="s">
        <v>93</v>
      </c>
      <c r="D69" t="s">
        <v>55</v>
      </c>
      <c r="E69" t="s">
        <v>539</v>
      </c>
      <c r="F69" t="s">
        <v>540</v>
      </c>
      <c r="G69" t="s">
        <v>541</v>
      </c>
      <c r="H69" t="s">
        <v>542</v>
      </c>
      <c r="I69" t="s">
        <v>543</v>
      </c>
      <c r="J69" t="s">
        <v>544</v>
      </c>
      <c r="K69" t="s">
        <v>545</v>
      </c>
      <c r="L69" t="s">
        <v>87</v>
      </c>
      <c r="M69" t="s">
        <v>88</v>
      </c>
      <c r="N69" t="s">
        <v>89</v>
      </c>
      <c r="O69" t="s">
        <v>90</v>
      </c>
      <c r="P69" t="s">
        <v>82</v>
      </c>
      <c r="Q69" t="s">
        <v>546</v>
      </c>
      <c r="R69" t="s">
        <v>547</v>
      </c>
      <c r="S69" t="s">
        <v>548</v>
      </c>
      <c r="T69" s="15">
        <v>47297</v>
      </c>
      <c r="U69">
        <v>776</v>
      </c>
      <c r="V69">
        <v>2.7</v>
      </c>
      <c r="W69" t="s">
        <v>70</v>
      </c>
      <c r="X69" t="s">
        <v>85</v>
      </c>
      <c r="Y69">
        <v>1</v>
      </c>
      <c r="Z69">
        <v>0</v>
      </c>
      <c r="AA69">
        <v>1</v>
      </c>
    </row>
    <row r="70" spans="1:27" x14ac:dyDescent="0.3">
      <c r="A70" t="s">
        <v>549</v>
      </c>
      <c r="B70" s="15">
        <v>45842</v>
      </c>
      <c r="C70" t="s">
        <v>179</v>
      </c>
      <c r="D70" t="s">
        <v>55</v>
      </c>
      <c r="E70" t="s">
        <v>550</v>
      </c>
      <c r="F70" t="s">
        <v>551</v>
      </c>
      <c r="G70" t="s">
        <v>552</v>
      </c>
      <c r="H70" t="s">
        <v>553</v>
      </c>
      <c r="I70" t="s">
        <v>167</v>
      </c>
      <c r="J70" t="s">
        <v>184</v>
      </c>
      <c r="K70" t="s">
        <v>185</v>
      </c>
      <c r="L70" t="s">
        <v>186</v>
      </c>
      <c r="M70" t="s">
        <v>239</v>
      </c>
      <c r="N70" t="s">
        <v>240</v>
      </c>
      <c r="O70" t="s">
        <v>554</v>
      </c>
      <c r="P70" t="s">
        <v>167</v>
      </c>
      <c r="Q70" t="s">
        <v>555</v>
      </c>
      <c r="R70" t="s">
        <v>556</v>
      </c>
      <c r="S70" t="s">
        <v>557</v>
      </c>
      <c r="T70" s="15">
        <v>46050</v>
      </c>
      <c r="U70">
        <v>768</v>
      </c>
      <c r="V70">
        <v>70</v>
      </c>
      <c r="W70" t="s">
        <v>70</v>
      </c>
      <c r="X70" t="s">
        <v>107</v>
      </c>
      <c r="Y70">
        <v>1</v>
      </c>
      <c r="Z70">
        <v>0</v>
      </c>
      <c r="AA70">
        <v>0</v>
      </c>
    </row>
    <row r="71" spans="1:27" x14ac:dyDescent="0.3">
      <c r="A71" t="s">
        <v>72</v>
      </c>
      <c r="B71" s="15">
        <v>45931</v>
      </c>
      <c r="C71" t="s">
        <v>73</v>
      </c>
      <c r="D71" t="s">
        <v>55</v>
      </c>
      <c r="E71" t="s">
        <v>558</v>
      </c>
      <c r="F71" t="s">
        <v>559</v>
      </c>
      <c r="G71" t="s">
        <v>560</v>
      </c>
      <c r="H71" t="s">
        <v>561</v>
      </c>
      <c r="I71" t="s">
        <v>254</v>
      </c>
      <c r="J71" t="s">
        <v>139</v>
      </c>
      <c r="K71" t="s">
        <v>140</v>
      </c>
      <c r="L71" t="s">
        <v>63</v>
      </c>
      <c r="M71" t="s">
        <v>64</v>
      </c>
      <c r="N71" t="s">
        <v>65</v>
      </c>
      <c r="O71" t="s">
        <v>81</v>
      </c>
      <c r="P71" t="s">
        <v>82</v>
      </c>
      <c r="Q71" t="s">
        <v>562</v>
      </c>
      <c r="R71" t="s">
        <v>563</v>
      </c>
      <c r="S71" t="s">
        <v>564</v>
      </c>
      <c r="T71" s="15">
        <v>46780</v>
      </c>
      <c r="U71">
        <v>752</v>
      </c>
      <c r="V71">
        <v>2.62</v>
      </c>
      <c r="W71" t="s">
        <v>70</v>
      </c>
      <c r="X71" t="s">
        <v>85</v>
      </c>
      <c r="Y71">
        <v>1</v>
      </c>
      <c r="Z71">
        <v>0</v>
      </c>
      <c r="AA71">
        <v>0</v>
      </c>
    </row>
    <row r="72" spans="1:27" x14ac:dyDescent="0.3">
      <c r="A72" t="s">
        <v>400</v>
      </c>
      <c r="B72" s="15">
        <v>45752</v>
      </c>
      <c r="C72" t="s">
        <v>54</v>
      </c>
      <c r="D72" t="s">
        <v>55</v>
      </c>
      <c r="E72" t="s">
        <v>565</v>
      </c>
      <c r="F72" t="s">
        <v>566</v>
      </c>
      <c r="G72" t="s">
        <v>567</v>
      </c>
      <c r="H72" t="s">
        <v>568</v>
      </c>
      <c r="I72" t="s">
        <v>60</v>
      </c>
      <c r="J72" t="s">
        <v>61</v>
      </c>
      <c r="K72" t="s">
        <v>62</v>
      </c>
      <c r="L72" t="s">
        <v>63</v>
      </c>
      <c r="M72" t="s">
        <v>214</v>
      </c>
      <c r="N72" t="s">
        <v>215</v>
      </c>
      <c r="O72" t="s">
        <v>408</v>
      </c>
      <c r="P72" t="s">
        <v>409</v>
      </c>
      <c r="Q72" t="s">
        <v>569</v>
      </c>
      <c r="R72" t="s">
        <v>570</v>
      </c>
      <c r="S72" t="s">
        <v>571</v>
      </c>
      <c r="T72" s="15">
        <v>46566</v>
      </c>
      <c r="U72">
        <v>750</v>
      </c>
      <c r="V72">
        <v>6.95</v>
      </c>
      <c r="W72" t="s">
        <v>70</v>
      </c>
      <c r="X72" t="s">
        <v>123</v>
      </c>
      <c r="Y72">
        <v>1</v>
      </c>
      <c r="Z72">
        <v>0</v>
      </c>
      <c r="AA72">
        <v>0</v>
      </c>
    </row>
    <row r="73" spans="1:27" x14ac:dyDescent="0.3">
      <c r="A73" t="s">
        <v>86</v>
      </c>
      <c r="B73" s="15">
        <v>45931</v>
      </c>
      <c r="C73" t="s">
        <v>93</v>
      </c>
      <c r="D73" t="s">
        <v>55</v>
      </c>
      <c r="E73" t="s">
        <v>572</v>
      </c>
      <c r="F73" t="s">
        <v>573</v>
      </c>
      <c r="G73" t="s">
        <v>574</v>
      </c>
      <c r="H73" t="s">
        <v>575</v>
      </c>
      <c r="I73" t="s">
        <v>78</v>
      </c>
      <c r="J73" t="s">
        <v>79</v>
      </c>
      <c r="K73" t="s">
        <v>80</v>
      </c>
      <c r="L73" t="s">
        <v>87</v>
      </c>
      <c r="M73" t="s">
        <v>88</v>
      </c>
      <c r="N73" t="s">
        <v>89</v>
      </c>
      <c r="O73" t="s">
        <v>90</v>
      </c>
      <c r="P73" t="s">
        <v>82</v>
      </c>
      <c r="Q73" t="s">
        <v>576</v>
      </c>
      <c r="R73" t="s">
        <v>577</v>
      </c>
      <c r="S73" t="s">
        <v>578</v>
      </c>
      <c r="T73" s="15">
        <v>46415</v>
      </c>
      <c r="U73">
        <v>740</v>
      </c>
      <c r="V73">
        <v>10.88</v>
      </c>
      <c r="W73" t="s">
        <v>70</v>
      </c>
      <c r="X73" t="s">
        <v>85</v>
      </c>
      <c r="Y73">
        <v>1</v>
      </c>
      <c r="Z73">
        <v>0</v>
      </c>
      <c r="AA73">
        <v>0</v>
      </c>
    </row>
    <row r="74" spans="1:27" x14ac:dyDescent="0.3">
      <c r="A74" t="s">
        <v>86</v>
      </c>
      <c r="B74" s="15">
        <v>45931</v>
      </c>
      <c r="C74" t="s">
        <v>93</v>
      </c>
      <c r="D74" t="s">
        <v>55</v>
      </c>
      <c r="E74" t="s">
        <v>579</v>
      </c>
      <c r="F74" t="s">
        <v>580</v>
      </c>
      <c r="G74" t="s">
        <v>581</v>
      </c>
      <c r="H74" t="s">
        <v>582</v>
      </c>
      <c r="I74" t="s">
        <v>583</v>
      </c>
      <c r="J74" t="s">
        <v>79</v>
      </c>
      <c r="K74" t="s">
        <v>80</v>
      </c>
      <c r="L74" t="s">
        <v>87</v>
      </c>
      <c r="M74" t="s">
        <v>88</v>
      </c>
      <c r="N74" t="s">
        <v>89</v>
      </c>
      <c r="O74" t="s">
        <v>90</v>
      </c>
      <c r="P74" t="s">
        <v>82</v>
      </c>
      <c r="Q74" t="s">
        <v>584</v>
      </c>
      <c r="R74" t="s">
        <v>585</v>
      </c>
      <c r="S74" t="s">
        <v>586</v>
      </c>
      <c r="T74" s="15">
        <v>46596</v>
      </c>
      <c r="U74">
        <v>712</v>
      </c>
      <c r="V74">
        <v>2.82</v>
      </c>
      <c r="W74" t="s">
        <v>70</v>
      </c>
      <c r="X74" t="s">
        <v>85</v>
      </c>
      <c r="Y74">
        <v>1</v>
      </c>
      <c r="Z74">
        <v>0</v>
      </c>
      <c r="AA74">
        <v>0</v>
      </c>
    </row>
    <row r="75" spans="1:27" x14ac:dyDescent="0.3">
      <c r="A75" t="s">
        <v>549</v>
      </c>
      <c r="B75" s="15">
        <v>45842</v>
      </c>
      <c r="C75" t="s">
        <v>179</v>
      </c>
      <c r="D75" t="s">
        <v>55</v>
      </c>
      <c r="E75" t="s">
        <v>587</v>
      </c>
      <c r="F75" t="s">
        <v>588</v>
      </c>
      <c r="G75" t="s">
        <v>589</v>
      </c>
      <c r="H75" t="s">
        <v>590</v>
      </c>
      <c r="I75" t="s">
        <v>167</v>
      </c>
      <c r="J75" t="s">
        <v>591</v>
      </c>
      <c r="K75" t="s">
        <v>592</v>
      </c>
      <c r="L75" t="s">
        <v>186</v>
      </c>
      <c r="M75" t="s">
        <v>239</v>
      </c>
      <c r="N75" t="s">
        <v>240</v>
      </c>
      <c r="O75" t="s">
        <v>554</v>
      </c>
      <c r="P75" t="s">
        <v>167</v>
      </c>
      <c r="Q75" t="s">
        <v>593</v>
      </c>
      <c r="R75" t="s">
        <v>594</v>
      </c>
      <c r="S75" t="s">
        <v>595</v>
      </c>
      <c r="T75" s="15">
        <v>46354</v>
      </c>
      <c r="U75">
        <v>710</v>
      </c>
      <c r="V75">
        <v>15</v>
      </c>
      <c r="W75" t="s">
        <v>70</v>
      </c>
      <c r="X75" t="s">
        <v>107</v>
      </c>
      <c r="Y75">
        <v>1</v>
      </c>
      <c r="Z75">
        <v>0</v>
      </c>
      <c r="AA75">
        <v>0</v>
      </c>
    </row>
    <row r="76" spans="1:27" x14ac:dyDescent="0.3">
      <c r="A76" t="s">
        <v>596</v>
      </c>
      <c r="B76" s="15">
        <v>45842</v>
      </c>
      <c r="C76" t="s">
        <v>497</v>
      </c>
      <c r="D76" t="s">
        <v>55</v>
      </c>
      <c r="E76" t="s">
        <v>597</v>
      </c>
      <c r="F76" t="s">
        <v>598</v>
      </c>
      <c r="G76" t="s">
        <v>599</v>
      </c>
      <c r="H76" t="s">
        <v>600</v>
      </c>
      <c r="I76" t="s">
        <v>254</v>
      </c>
      <c r="J76" t="s">
        <v>139</v>
      </c>
      <c r="K76" t="s">
        <v>140</v>
      </c>
      <c r="L76" t="s">
        <v>87</v>
      </c>
      <c r="M76" t="s">
        <v>601</v>
      </c>
      <c r="N76" t="s">
        <v>602</v>
      </c>
      <c r="O76" t="s">
        <v>603</v>
      </c>
      <c r="P76" t="s">
        <v>82</v>
      </c>
      <c r="Q76" t="s">
        <v>604</v>
      </c>
      <c r="R76" t="s">
        <v>605</v>
      </c>
      <c r="S76" t="s">
        <v>606</v>
      </c>
      <c r="T76" s="15">
        <v>46474</v>
      </c>
      <c r="U76">
        <v>706</v>
      </c>
      <c r="V76">
        <v>7.46</v>
      </c>
      <c r="W76" t="s">
        <v>70</v>
      </c>
      <c r="X76" t="s">
        <v>107</v>
      </c>
      <c r="Y76">
        <v>1</v>
      </c>
      <c r="Z76">
        <v>0</v>
      </c>
      <c r="AA76">
        <v>0</v>
      </c>
    </row>
    <row r="77" spans="1:27" x14ac:dyDescent="0.3">
      <c r="A77" t="s">
        <v>596</v>
      </c>
      <c r="B77" s="15">
        <v>45842</v>
      </c>
      <c r="C77" t="s">
        <v>497</v>
      </c>
      <c r="D77" t="s">
        <v>55</v>
      </c>
      <c r="E77" t="s">
        <v>607</v>
      </c>
      <c r="F77" t="s">
        <v>608</v>
      </c>
      <c r="G77" t="s">
        <v>609</v>
      </c>
      <c r="H77" t="s">
        <v>610</v>
      </c>
      <c r="I77" t="s">
        <v>611</v>
      </c>
      <c r="J77" t="s">
        <v>612</v>
      </c>
      <c r="K77" t="s">
        <v>613</v>
      </c>
      <c r="L77" t="s">
        <v>87</v>
      </c>
      <c r="M77" t="s">
        <v>601</v>
      </c>
      <c r="N77" t="s">
        <v>602</v>
      </c>
      <c r="O77" t="s">
        <v>603</v>
      </c>
      <c r="P77" t="s">
        <v>82</v>
      </c>
      <c r="Q77" t="s">
        <v>614</v>
      </c>
      <c r="R77" t="s">
        <v>615</v>
      </c>
      <c r="S77" t="s">
        <v>616</v>
      </c>
      <c r="T77" s="15">
        <v>46323</v>
      </c>
      <c r="U77">
        <v>701</v>
      </c>
      <c r="V77">
        <v>2.93</v>
      </c>
      <c r="W77" t="s">
        <v>70</v>
      </c>
      <c r="X77" t="s">
        <v>107</v>
      </c>
      <c r="Y77">
        <v>1</v>
      </c>
      <c r="Z77">
        <v>0</v>
      </c>
      <c r="AA77">
        <v>0</v>
      </c>
    </row>
    <row r="78" spans="1:27" x14ac:dyDescent="0.3">
      <c r="A78" t="s">
        <v>549</v>
      </c>
      <c r="B78" s="15">
        <v>45842</v>
      </c>
      <c r="C78" t="s">
        <v>179</v>
      </c>
      <c r="D78" t="s">
        <v>55</v>
      </c>
      <c r="E78" t="s">
        <v>617</v>
      </c>
      <c r="F78" t="s">
        <v>618</v>
      </c>
      <c r="G78" t="s">
        <v>619</v>
      </c>
      <c r="H78" t="s">
        <v>620</v>
      </c>
      <c r="I78" t="s">
        <v>167</v>
      </c>
      <c r="J78" t="s">
        <v>621</v>
      </c>
      <c r="K78" t="s">
        <v>622</v>
      </c>
      <c r="L78" t="s">
        <v>186</v>
      </c>
      <c r="M78" t="s">
        <v>239</v>
      </c>
      <c r="N78" t="s">
        <v>240</v>
      </c>
      <c r="O78" t="s">
        <v>554</v>
      </c>
      <c r="P78" t="s">
        <v>167</v>
      </c>
      <c r="Q78" t="s">
        <v>576</v>
      </c>
      <c r="R78" t="s">
        <v>577</v>
      </c>
      <c r="S78" t="s">
        <v>623</v>
      </c>
      <c r="T78" s="15">
        <v>46323</v>
      </c>
      <c r="U78">
        <v>671</v>
      </c>
      <c r="V78">
        <v>24.19</v>
      </c>
      <c r="W78" t="s">
        <v>70</v>
      </c>
      <c r="X78" t="s">
        <v>107</v>
      </c>
      <c r="Y78">
        <v>1</v>
      </c>
      <c r="Z78">
        <v>0</v>
      </c>
      <c r="AA78">
        <v>0</v>
      </c>
    </row>
    <row r="79" spans="1:27" x14ac:dyDescent="0.3">
      <c r="A79" t="s">
        <v>72</v>
      </c>
      <c r="B79" s="15">
        <v>45931</v>
      </c>
      <c r="C79" t="s">
        <v>73</v>
      </c>
      <c r="D79" t="s">
        <v>55</v>
      </c>
      <c r="E79" t="s">
        <v>572</v>
      </c>
      <c r="F79" t="s">
        <v>573</v>
      </c>
      <c r="G79" t="s">
        <v>574</v>
      </c>
      <c r="H79" t="s">
        <v>575</v>
      </c>
      <c r="I79" t="s">
        <v>78</v>
      </c>
      <c r="J79" t="s">
        <v>79</v>
      </c>
      <c r="K79" t="s">
        <v>80</v>
      </c>
      <c r="L79" t="s">
        <v>63</v>
      </c>
      <c r="M79" t="s">
        <v>64</v>
      </c>
      <c r="N79" t="s">
        <v>65</v>
      </c>
      <c r="O79" t="s">
        <v>81</v>
      </c>
      <c r="P79" t="s">
        <v>82</v>
      </c>
      <c r="Q79" t="s">
        <v>576</v>
      </c>
      <c r="R79" t="s">
        <v>577</v>
      </c>
      <c r="S79" t="s">
        <v>578</v>
      </c>
      <c r="T79" s="15">
        <v>46415</v>
      </c>
      <c r="U79">
        <v>665</v>
      </c>
      <c r="V79">
        <v>10.88</v>
      </c>
      <c r="W79" t="s">
        <v>70</v>
      </c>
      <c r="X79" t="s">
        <v>85</v>
      </c>
      <c r="Y79">
        <v>1</v>
      </c>
      <c r="Z79">
        <v>0</v>
      </c>
      <c r="AA79">
        <v>0</v>
      </c>
    </row>
    <row r="80" spans="1:27" x14ac:dyDescent="0.3">
      <c r="A80" t="s">
        <v>72</v>
      </c>
      <c r="B80" s="15">
        <v>45931</v>
      </c>
      <c r="C80" t="s">
        <v>73</v>
      </c>
      <c r="D80" t="s">
        <v>55</v>
      </c>
      <c r="E80" t="s">
        <v>579</v>
      </c>
      <c r="F80" t="s">
        <v>580</v>
      </c>
      <c r="G80" t="s">
        <v>581</v>
      </c>
      <c r="H80" t="s">
        <v>582</v>
      </c>
      <c r="I80" t="s">
        <v>583</v>
      </c>
      <c r="J80" t="s">
        <v>79</v>
      </c>
      <c r="K80" t="s">
        <v>80</v>
      </c>
      <c r="L80" t="s">
        <v>63</v>
      </c>
      <c r="M80" t="s">
        <v>64</v>
      </c>
      <c r="N80" t="s">
        <v>65</v>
      </c>
      <c r="O80" t="s">
        <v>81</v>
      </c>
      <c r="P80" t="s">
        <v>82</v>
      </c>
      <c r="Q80" t="s">
        <v>584</v>
      </c>
      <c r="R80" t="s">
        <v>585</v>
      </c>
      <c r="S80" t="s">
        <v>586</v>
      </c>
      <c r="T80" s="15">
        <v>46596</v>
      </c>
      <c r="U80">
        <v>664</v>
      </c>
      <c r="V80">
        <v>2.82</v>
      </c>
      <c r="W80" t="s">
        <v>70</v>
      </c>
      <c r="X80" t="s">
        <v>85</v>
      </c>
      <c r="Y80">
        <v>0</v>
      </c>
      <c r="Z80">
        <v>0</v>
      </c>
      <c r="AA80">
        <v>0</v>
      </c>
    </row>
    <row r="81" spans="1:27" x14ac:dyDescent="0.3">
      <c r="A81" t="s">
        <v>624</v>
      </c>
      <c r="B81" s="15">
        <v>45752</v>
      </c>
      <c r="C81" t="s">
        <v>625</v>
      </c>
      <c r="D81" t="s">
        <v>55</v>
      </c>
      <c r="E81" t="s">
        <v>626</v>
      </c>
      <c r="F81" t="s">
        <v>627</v>
      </c>
      <c r="G81" t="s">
        <v>628</v>
      </c>
      <c r="H81" t="s">
        <v>629</v>
      </c>
      <c r="I81" t="s">
        <v>167</v>
      </c>
      <c r="J81" t="s">
        <v>630</v>
      </c>
      <c r="K81" t="s">
        <v>631</v>
      </c>
      <c r="L81" t="s">
        <v>87</v>
      </c>
      <c r="M81" t="s">
        <v>632</v>
      </c>
      <c r="N81" t="s">
        <v>633</v>
      </c>
      <c r="O81" t="s">
        <v>634</v>
      </c>
      <c r="P81" t="s">
        <v>167</v>
      </c>
      <c r="Q81" t="s">
        <v>635</v>
      </c>
      <c r="R81" t="s">
        <v>636</v>
      </c>
      <c r="S81" t="s">
        <v>637</v>
      </c>
      <c r="T81" s="15">
        <v>46353</v>
      </c>
      <c r="U81">
        <v>642</v>
      </c>
      <c r="V81">
        <v>8.06</v>
      </c>
      <c r="W81" t="s">
        <v>70</v>
      </c>
      <c r="X81" t="s">
        <v>123</v>
      </c>
      <c r="Y81">
        <v>1</v>
      </c>
      <c r="Z81">
        <v>0</v>
      </c>
      <c r="AA81">
        <v>0</v>
      </c>
    </row>
    <row r="82" spans="1:27" x14ac:dyDescent="0.3">
      <c r="A82" t="s">
        <v>638</v>
      </c>
      <c r="B82" s="15">
        <v>45752</v>
      </c>
      <c r="C82" t="s">
        <v>625</v>
      </c>
      <c r="D82" t="s">
        <v>55</v>
      </c>
      <c r="E82" t="s">
        <v>639</v>
      </c>
      <c r="F82" t="s">
        <v>640</v>
      </c>
      <c r="G82" t="s">
        <v>641</v>
      </c>
      <c r="H82" t="s">
        <v>642</v>
      </c>
      <c r="I82" t="s">
        <v>643</v>
      </c>
      <c r="J82" t="s">
        <v>644</v>
      </c>
      <c r="K82" t="s">
        <v>645</v>
      </c>
      <c r="L82" t="s">
        <v>87</v>
      </c>
      <c r="M82" t="s">
        <v>632</v>
      </c>
      <c r="N82" t="s">
        <v>633</v>
      </c>
      <c r="O82" t="s">
        <v>646</v>
      </c>
      <c r="P82" t="s">
        <v>82</v>
      </c>
      <c r="Q82" t="s">
        <v>647</v>
      </c>
      <c r="R82" t="s">
        <v>648</v>
      </c>
      <c r="S82" t="s">
        <v>649</v>
      </c>
      <c r="T82" s="15">
        <v>46121</v>
      </c>
      <c r="U82">
        <v>642</v>
      </c>
      <c r="V82">
        <v>2.6</v>
      </c>
      <c r="W82" t="s">
        <v>70</v>
      </c>
      <c r="X82" t="s">
        <v>123</v>
      </c>
      <c r="Y82">
        <v>1</v>
      </c>
      <c r="Z82">
        <v>0</v>
      </c>
      <c r="AA82">
        <v>1</v>
      </c>
    </row>
    <row r="83" spans="1:27" x14ac:dyDescent="0.3">
      <c r="A83" t="s">
        <v>650</v>
      </c>
      <c r="B83" s="15">
        <v>45661</v>
      </c>
      <c r="C83" t="s">
        <v>651</v>
      </c>
      <c r="D83" t="s">
        <v>55</v>
      </c>
      <c r="E83" t="s">
        <v>322</v>
      </c>
      <c r="F83" t="s">
        <v>652</v>
      </c>
      <c r="G83" t="s">
        <v>324</v>
      </c>
      <c r="H83" t="s">
        <v>325</v>
      </c>
      <c r="I83" t="s">
        <v>167</v>
      </c>
      <c r="J83" t="s">
        <v>326</v>
      </c>
      <c r="K83" t="s">
        <v>327</v>
      </c>
      <c r="L83" t="s">
        <v>186</v>
      </c>
      <c r="M83" t="s">
        <v>653</v>
      </c>
      <c r="N83" t="s">
        <v>654</v>
      </c>
      <c r="O83" t="s">
        <v>655</v>
      </c>
      <c r="P83" t="s">
        <v>167</v>
      </c>
      <c r="Q83" t="s">
        <v>656</v>
      </c>
      <c r="R83" t="s">
        <v>657</v>
      </c>
      <c r="S83" t="s">
        <v>658</v>
      </c>
      <c r="T83" s="15">
        <v>47327</v>
      </c>
      <c r="U83">
        <v>642</v>
      </c>
      <c r="V83">
        <v>3.05</v>
      </c>
      <c r="W83" t="s">
        <v>70</v>
      </c>
      <c r="X83" t="s">
        <v>193</v>
      </c>
      <c r="Y83">
        <v>1</v>
      </c>
      <c r="Z83">
        <v>0</v>
      </c>
      <c r="AA83">
        <v>0</v>
      </c>
    </row>
    <row r="84" spans="1:27" x14ac:dyDescent="0.3">
      <c r="A84" t="s">
        <v>659</v>
      </c>
      <c r="B84" s="15">
        <v>45661</v>
      </c>
      <c r="C84" t="s">
        <v>497</v>
      </c>
      <c r="D84" t="s">
        <v>55</v>
      </c>
      <c r="E84" t="s">
        <v>322</v>
      </c>
      <c r="F84" t="s">
        <v>652</v>
      </c>
      <c r="G84" t="s">
        <v>324</v>
      </c>
      <c r="H84" t="s">
        <v>325</v>
      </c>
      <c r="I84" t="s">
        <v>167</v>
      </c>
      <c r="J84" t="s">
        <v>326</v>
      </c>
      <c r="K84" t="s">
        <v>327</v>
      </c>
      <c r="L84" t="s">
        <v>660</v>
      </c>
      <c r="M84" t="s">
        <v>661</v>
      </c>
      <c r="N84" t="s">
        <v>662</v>
      </c>
      <c r="O84" t="s">
        <v>663</v>
      </c>
      <c r="P84" t="s">
        <v>167</v>
      </c>
      <c r="Q84" t="s">
        <v>656</v>
      </c>
      <c r="R84" t="s">
        <v>657</v>
      </c>
      <c r="S84" t="s">
        <v>658</v>
      </c>
      <c r="T84" s="15">
        <v>47327</v>
      </c>
      <c r="U84">
        <v>642</v>
      </c>
      <c r="V84">
        <v>3.05</v>
      </c>
      <c r="W84" t="s">
        <v>70</v>
      </c>
      <c r="X84" t="s">
        <v>193</v>
      </c>
      <c r="Y84">
        <v>1</v>
      </c>
      <c r="Z84">
        <v>0</v>
      </c>
      <c r="AA84">
        <v>0</v>
      </c>
    </row>
    <row r="85" spans="1:27" x14ac:dyDescent="0.3">
      <c r="A85" t="s">
        <v>650</v>
      </c>
      <c r="B85" s="15">
        <v>45661</v>
      </c>
      <c r="C85" t="s">
        <v>651</v>
      </c>
      <c r="D85" t="s">
        <v>55</v>
      </c>
      <c r="E85" t="s">
        <v>322</v>
      </c>
      <c r="F85" t="s">
        <v>664</v>
      </c>
      <c r="G85" t="s">
        <v>324</v>
      </c>
      <c r="H85" t="s">
        <v>325</v>
      </c>
      <c r="I85" t="s">
        <v>167</v>
      </c>
      <c r="J85" t="s">
        <v>326</v>
      </c>
      <c r="K85" t="s">
        <v>327</v>
      </c>
      <c r="L85" t="s">
        <v>186</v>
      </c>
      <c r="M85" t="s">
        <v>653</v>
      </c>
      <c r="N85" t="s">
        <v>654</v>
      </c>
      <c r="O85" t="s">
        <v>655</v>
      </c>
      <c r="P85" t="s">
        <v>167</v>
      </c>
      <c r="Q85" t="s">
        <v>665</v>
      </c>
      <c r="R85" t="s">
        <v>666</v>
      </c>
      <c r="S85" t="s">
        <v>667</v>
      </c>
      <c r="T85" s="15">
        <v>47266</v>
      </c>
      <c r="U85">
        <v>642</v>
      </c>
      <c r="V85">
        <v>2.15</v>
      </c>
      <c r="W85" t="s">
        <v>70</v>
      </c>
      <c r="X85" t="s">
        <v>193</v>
      </c>
      <c r="Y85">
        <v>1</v>
      </c>
      <c r="Z85">
        <v>0</v>
      </c>
      <c r="AA85">
        <v>0</v>
      </c>
    </row>
    <row r="86" spans="1:27" x14ac:dyDescent="0.3">
      <c r="A86" t="s">
        <v>659</v>
      </c>
      <c r="B86" s="15">
        <v>45661</v>
      </c>
      <c r="C86" t="s">
        <v>497</v>
      </c>
      <c r="D86" t="s">
        <v>55</v>
      </c>
      <c r="E86" t="s">
        <v>322</v>
      </c>
      <c r="F86" t="s">
        <v>664</v>
      </c>
      <c r="G86" t="s">
        <v>324</v>
      </c>
      <c r="H86" t="s">
        <v>325</v>
      </c>
      <c r="I86" t="s">
        <v>167</v>
      </c>
      <c r="J86" t="s">
        <v>326</v>
      </c>
      <c r="K86" t="s">
        <v>327</v>
      </c>
      <c r="L86" t="s">
        <v>660</v>
      </c>
      <c r="M86" t="s">
        <v>661</v>
      </c>
      <c r="N86" t="s">
        <v>662</v>
      </c>
      <c r="O86" t="s">
        <v>663</v>
      </c>
      <c r="P86" t="s">
        <v>167</v>
      </c>
      <c r="Q86" t="s">
        <v>665</v>
      </c>
      <c r="R86" t="s">
        <v>666</v>
      </c>
      <c r="S86" t="s">
        <v>667</v>
      </c>
      <c r="T86" s="15">
        <v>47266</v>
      </c>
      <c r="U86">
        <v>642</v>
      </c>
      <c r="V86">
        <v>2.15</v>
      </c>
      <c r="W86" t="s">
        <v>70</v>
      </c>
      <c r="X86" t="s">
        <v>193</v>
      </c>
      <c r="Y86">
        <v>1</v>
      </c>
      <c r="Z86">
        <v>0</v>
      </c>
      <c r="AA86">
        <v>0</v>
      </c>
    </row>
    <row r="87" spans="1:27" x14ac:dyDescent="0.3">
      <c r="A87" t="s">
        <v>668</v>
      </c>
      <c r="B87" s="15">
        <v>45661</v>
      </c>
      <c r="C87" t="s">
        <v>497</v>
      </c>
      <c r="D87" t="s">
        <v>55</v>
      </c>
      <c r="E87" t="s">
        <v>669</v>
      </c>
      <c r="F87" t="s">
        <v>670</v>
      </c>
      <c r="G87" t="s">
        <v>671</v>
      </c>
      <c r="H87" t="s">
        <v>672</v>
      </c>
      <c r="I87" t="s">
        <v>673</v>
      </c>
      <c r="J87" t="s">
        <v>527</v>
      </c>
      <c r="K87" t="s">
        <v>528</v>
      </c>
      <c r="L87" t="s">
        <v>186</v>
      </c>
      <c r="M87" t="s">
        <v>674</v>
      </c>
      <c r="N87" t="s">
        <v>675</v>
      </c>
      <c r="O87" t="s">
        <v>676</v>
      </c>
      <c r="P87" t="s">
        <v>67</v>
      </c>
      <c r="Q87" t="s">
        <v>665</v>
      </c>
      <c r="R87" t="s">
        <v>666</v>
      </c>
      <c r="S87" t="s">
        <v>667</v>
      </c>
      <c r="T87" s="15">
        <v>47266</v>
      </c>
      <c r="U87">
        <v>642</v>
      </c>
      <c r="V87">
        <v>1.27</v>
      </c>
      <c r="W87" t="s">
        <v>70</v>
      </c>
      <c r="X87" t="s">
        <v>193</v>
      </c>
      <c r="Y87">
        <v>1</v>
      </c>
      <c r="Z87">
        <v>0</v>
      </c>
      <c r="AA87">
        <v>0</v>
      </c>
    </row>
    <row r="88" spans="1:27" x14ac:dyDescent="0.3">
      <c r="A88" t="s">
        <v>677</v>
      </c>
      <c r="B88" s="15">
        <v>45661</v>
      </c>
      <c r="C88" t="s">
        <v>95</v>
      </c>
      <c r="D88" t="s">
        <v>55</v>
      </c>
      <c r="E88" t="s">
        <v>669</v>
      </c>
      <c r="F88" t="s">
        <v>670</v>
      </c>
      <c r="G88" t="s">
        <v>671</v>
      </c>
      <c r="H88" t="s">
        <v>672</v>
      </c>
      <c r="I88" t="s">
        <v>673</v>
      </c>
      <c r="J88" t="s">
        <v>527</v>
      </c>
      <c r="K88" t="s">
        <v>528</v>
      </c>
      <c r="L88" t="s">
        <v>186</v>
      </c>
      <c r="M88" t="s">
        <v>678</v>
      </c>
      <c r="N88" t="s">
        <v>679</v>
      </c>
      <c r="O88" t="s">
        <v>680</v>
      </c>
      <c r="P88" t="s">
        <v>67</v>
      </c>
      <c r="Q88" t="s">
        <v>665</v>
      </c>
      <c r="R88" t="s">
        <v>666</v>
      </c>
      <c r="S88" t="s">
        <v>667</v>
      </c>
      <c r="T88" s="15">
        <v>47266</v>
      </c>
      <c r="U88">
        <v>642</v>
      </c>
      <c r="V88">
        <v>1.27</v>
      </c>
      <c r="W88" t="s">
        <v>70</v>
      </c>
      <c r="X88" t="s">
        <v>193</v>
      </c>
      <c r="Y88">
        <v>1</v>
      </c>
      <c r="Z88">
        <v>0</v>
      </c>
      <c r="AA88">
        <v>0</v>
      </c>
    </row>
    <row r="89" spans="1:27" x14ac:dyDescent="0.3">
      <c r="A89" t="s">
        <v>668</v>
      </c>
      <c r="B89" s="15">
        <v>45661</v>
      </c>
      <c r="C89" t="s">
        <v>497</v>
      </c>
      <c r="D89" t="s">
        <v>55</v>
      </c>
      <c r="E89" t="s">
        <v>681</v>
      </c>
      <c r="F89" t="s">
        <v>682</v>
      </c>
      <c r="G89" t="s">
        <v>683</v>
      </c>
      <c r="H89" t="s">
        <v>684</v>
      </c>
      <c r="I89" t="s">
        <v>685</v>
      </c>
      <c r="J89" t="s">
        <v>527</v>
      </c>
      <c r="K89" t="s">
        <v>528</v>
      </c>
      <c r="L89" t="s">
        <v>186</v>
      </c>
      <c r="M89" t="s">
        <v>674</v>
      </c>
      <c r="N89" t="s">
        <v>675</v>
      </c>
      <c r="O89" t="s">
        <v>676</v>
      </c>
      <c r="P89" t="s">
        <v>67</v>
      </c>
      <c r="Q89" t="s">
        <v>656</v>
      </c>
      <c r="R89" t="s">
        <v>657</v>
      </c>
      <c r="S89" t="s">
        <v>686</v>
      </c>
      <c r="T89" s="15">
        <v>47358</v>
      </c>
      <c r="U89">
        <v>642</v>
      </c>
      <c r="V89">
        <v>1.55</v>
      </c>
      <c r="W89" t="s">
        <v>70</v>
      </c>
      <c r="X89" t="s">
        <v>193</v>
      </c>
      <c r="Y89">
        <v>1</v>
      </c>
      <c r="Z89">
        <v>0</v>
      </c>
      <c r="AA89">
        <v>0</v>
      </c>
    </row>
    <row r="90" spans="1:27" x14ac:dyDescent="0.3">
      <c r="A90" t="s">
        <v>677</v>
      </c>
      <c r="B90" s="15">
        <v>45661</v>
      </c>
      <c r="C90" t="s">
        <v>95</v>
      </c>
      <c r="D90" t="s">
        <v>55</v>
      </c>
      <c r="E90" t="s">
        <v>681</v>
      </c>
      <c r="F90" t="s">
        <v>682</v>
      </c>
      <c r="G90" t="s">
        <v>683</v>
      </c>
      <c r="H90" t="s">
        <v>684</v>
      </c>
      <c r="I90" t="s">
        <v>685</v>
      </c>
      <c r="J90" t="s">
        <v>527</v>
      </c>
      <c r="K90" t="s">
        <v>528</v>
      </c>
      <c r="L90" t="s">
        <v>186</v>
      </c>
      <c r="M90" t="s">
        <v>678</v>
      </c>
      <c r="N90" t="s">
        <v>679</v>
      </c>
      <c r="O90" t="s">
        <v>680</v>
      </c>
      <c r="P90" t="s">
        <v>67</v>
      </c>
      <c r="Q90" t="s">
        <v>656</v>
      </c>
      <c r="R90" t="s">
        <v>657</v>
      </c>
      <c r="S90" t="s">
        <v>686</v>
      </c>
      <c r="T90" s="15">
        <v>47358</v>
      </c>
      <c r="U90">
        <v>642</v>
      </c>
      <c r="V90">
        <v>1.55</v>
      </c>
      <c r="W90" t="s">
        <v>70</v>
      </c>
      <c r="X90" t="s">
        <v>193</v>
      </c>
      <c r="Y90">
        <v>1</v>
      </c>
      <c r="Z90">
        <v>0</v>
      </c>
      <c r="AA90">
        <v>0</v>
      </c>
    </row>
    <row r="91" spans="1:27" x14ac:dyDescent="0.3">
      <c r="A91" t="s">
        <v>687</v>
      </c>
      <c r="B91" s="15">
        <v>45842</v>
      </c>
      <c r="C91" t="s">
        <v>179</v>
      </c>
      <c r="D91" t="s">
        <v>55</v>
      </c>
      <c r="E91" t="s">
        <v>565</v>
      </c>
      <c r="F91" t="s">
        <v>566</v>
      </c>
      <c r="G91" t="s">
        <v>567</v>
      </c>
      <c r="H91" t="s">
        <v>568</v>
      </c>
      <c r="I91" t="s">
        <v>60</v>
      </c>
      <c r="J91" t="s">
        <v>61</v>
      </c>
      <c r="K91" t="s">
        <v>62</v>
      </c>
      <c r="L91" t="s">
        <v>100</v>
      </c>
      <c r="M91" t="s">
        <v>101</v>
      </c>
      <c r="N91" t="s">
        <v>102</v>
      </c>
      <c r="O91" t="s">
        <v>688</v>
      </c>
      <c r="P91" t="s">
        <v>409</v>
      </c>
      <c r="Q91" t="s">
        <v>569</v>
      </c>
      <c r="R91" t="s">
        <v>570</v>
      </c>
      <c r="S91" t="s">
        <v>571</v>
      </c>
      <c r="T91" s="15">
        <v>46566</v>
      </c>
      <c r="U91">
        <v>642</v>
      </c>
      <c r="V91">
        <v>6.95</v>
      </c>
      <c r="W91" t="s">
        <v>70</v>
      </c>
      <c r="X91" t="s">
        <v>107</v>
      </c>
      <c r="Y91">
        <v>1</v>
      </c>
      <c r="Z91">
        <v>0</v>
      </c>
      <c r="AA91">
        <v>0</v>
      </c>
    </row>
    <row r="92" spans="1:27" x14ac:dyDescent="0.3">
      <c r="A92" t="s">
        <v>689</v>
      </c>
      <c r="B92" s="15">
        <v>45842</v>
      </c>
      <c r="C92" t="s">
        <v>54</v>
      </c>
      <c r="D92" t="s">
        <v>55</v>
      </c>
      <c r="E92" t="s">
        <v>690</v>
      </c>
      <c r="F92" t="s">
        <v>691</v>
      </c>
      <c r="G92" t="s">
        <v>692</v>
      </c>
      <c r="H92" t="s">
        <v>693</v>
      </c>
      <c r="I92" t="s">
        <v>694</v>
      </c>
      <c r="J92" t="s">
        <v>695</v>
      </c>
      <c r="K92" t="s">
        <v>696</v>
      </c>
      <c r="L92" t="s">
        <v>186</v>
      </c>
      <c r="M92" t="s">
        <v>239</v>
      </c>
      <c r="N92" t="s">
        <v>240</v>
      </c>
      <c r="O92" t="s">
        <v>697</v>
      </c>
      <c r="P92" t="s">
        <v>82</v>
      </c>
      <c r="Q92" t="s">
        <v>698</v>
      </c>
      <c r="R92" t="s">
        <v>699</v>
      </c>
      <c r="S92" t="s">
        <v>700</v>
      </c>
      <c r="T92" s="15">
        <v>46811</v>
      </c>
      <c r="U92">
        <v>630</v>
      </c>
      <c r="V92">
        <v>8.5</v>
      </c>
      <c r="W92" t="s">
        <v>70</v>
      </c>
      <c r="X92" t="s">
        <v>107</v>
      </c>
      <c r="Y92">
        <v>1</v>
      </c>
      <c r="Z92">
        <v>0</v>
      </c>
      <c r="AA92">
        <v>0</v>
      </c>
    </row>
    <row r="93" spans="1:27" x14ac:dyDescent="0.3">
      <c r="A93" t="s">
        <v>596</v>
      </c>
      <c r="B93" s="15">
        <v>45842</v>
      </c>
      <c r="C93" t="s">
        <v>497</v>
      </c>
      <c r="D93" t="s">
        <v>55</v>
      </c>
      <c r="E93" t="s">
        <v>701</v>
      </c>
      <c r="F93" t="s">
        <v>702</v>
      </c>
      <c r="G93" t="s">
        <v>703</v>
      </c>
      <c r="H93" t="s">
        <v>704</v>
      </c>
      <c r="I93" t="s">
        <v>254</v>
      </c>
      <c r="J93" t="s">
        <v>139</v>
      </c>
      <c r="K93" t="s">
        <v>140</v>
      </c>
      <c r="L93" t="s">
        <v>87</v>
      </c>
      <c r="M93" t="s">
        <v>601</v>
      </c>
      <c r="N93" t="s">
        <v>602</v>
      </c>
      <c r="O93" t="s">
        <v>603</v>
      </c>
      <c r="P93" t="s">
        <v>82</v>
      </c>
      <c r="Q93" t="s">
        <v>705</v>
      </c>
      <c r="R93" t="s">
        <v>706</v>
      </c>
      <c r="S93" t="s">
        <v>707</v>
      </c>
      <c r="T93" s="15">
        <v>46415</v>
      </c>
      <c r="U93">
        <v>627</v>
      </c>
      <c r="V93">
        <v>7</v>
      </c>
      <c r="W93" t="s">
        <v>70</v>
      </c>
      <c r="X93" t="s">
        <v>107</v>
      </c>
      <c r="Y93">
        <v>1</v>
      </c>
      <c r="Z93">
        <v>0</v>
      </c>
      <c r="AA93">
        <v>0</v>
      </c>
    </row>
    <row r="94" spans="1:27" x14ac:dyDescent="0.3">
      <c r="A94" t="s">
        <v>397</v>
      </c>
      <c r="B94" s="15">
        <v>45931</v>
      </c>
      <c r="C94" t="s">
        <v>398</v>
      </c>
      <c r="D94" t="s">
        <v>55</v>
      </c>
      <c r="E94" t="s">
        <v>387</v>
      </c>
      <c r="F94" t="s">
        <v>388</v>
      </c>
      <c r="G94" t="s">
        <v>389</v>
      </c>
      <c r="H94" t="s">
        <v>390</v>
      </c>
      <c r="I94" t="s">
        <v>391</v>
      </c>
      <c r="J94" t="s">
        <v>392</v>
      </c>
      <c r="K94" t="s">
        <v>393</v>
      </c>
      <c r="L94" t="s">
        <v>170</v>
      </c>
      <c r="M94" t="s">
        <v>171</v>
      </c>
      <c r="N94" t="s">
        <v>172</v>
      </c>
      <c r="O94" t="s">
        <v>399</v>
      </c>
      <c r="P94" t="s">
        <v>82</v>
      </c>
      <c r="Q94" t="s">
        <v>394</v>
      </c>
      <c r="R94" t="s">
        <v>395</v>
      </c>
      <c r="S94" t="s">
        <v>396</v>
      </c>
      <c r="T94" s="15">
        <v>47358</v>
      </c>
      <c r="U94">
        <v>620</v>
      </c>
      <c r="V94">
        <v>2.52</v>
      </c>
      <c r="W94" t="s">
        <v>70</v>
      </c>
      <c r="X94" t="s">
        <v>85</v>
      </c>
      <c r="Y94">
        <v>1</v>
      </c>
      <c r="Z94">
        <v>0</v>
      </c>
      <c r="AA94">
        <v>0</v>
      </c>
    </row>
    <row r="95" spans="1:27" x14ac:dyDescent="0.3">
      <c r="A95" t="s">
        <v>708</v>
      </c>
      <c r="B95" s="15">
        <v>45815</v>
      </c>
      <c r="C95" t="s">
        <v>497</v>
      </c>
      <c r="D95" t="s">
        <v>55</v>
      </c>
      <c r="E95" t="s">
        <v>709</v>
      </c>
      <c r="F95" t="s">
        <v>710</v>
      </c>
      <c r="G95" t="s">
        <v>711</v>
      </c>
      <c r="H95" t="s">
        <v>712</v>
      </c>
      <c r="I95" t="s">
        <v>128</v>
      </c>
      <c r="J95" t="s">
        <v>129</v>
      </c>
      <c r="K95" t="s">
        <v>130</v>
      </c>
      <c r="L95" t="s">
        <v>186</v>
      </c>
      <c r="M95" t="s">
        <v>713</v>
      </c>
      <c r="N95" t="s">
        <v>714</v>
      </c>
      <c r="O95" t="s">
        <v>715</v>
      </c>
      <c r="P95" t="s">
        <v>82</v>
      </c>
      <c r="Q95" t="s">
        <v>297</v>
      </c>
      <c r="R95" t="s">
        <v>298</v>
      </c>
      <c r="S95" t="s">
        <v>716</v>
      </c>
      <c r="T95" s="15">
        <v>46140</v>
      </c>
      <c r="U95">
        <v>610</v>
      </c>
      <c r="V95">
        <v>20.63</v>
      </c>
      <c r="W95" t="s">
        <v>70</v>
      </c>
      <c r="X95" t="s">
        <v>177</v>
      </c>
      <c r="Y95">
        <v>1</v>
      </c>
      <c r="Z95">
        <v>0</v>
      </c>
      <c r="AA95">
        <v>0</v>
      </c>
    </row>
    <row r="96" spans="1:27" x14ac:dyDescent="0.3">
      <c r="A96" t="s">
        <v>496</v>
      </c>
      <c r="B96" s="15">
        <v>45931</v>
      </c>
      <c r="C96" t="s">
        <v>497</v>
      </c>
      <c r="D96" t="s">
        <v>55</v>
      </c>
      <c r="E96" t="s">
        <v>134</v>
      </c>
      <c r="F96" t="s">
        <v>135</v>
      </c>
      <c r="G96" t="s">
        <v>136</v>
      </c>
      <c r="H96" t="s">
        <v>137</v>
      </c>
      <c r="I96" t="s">
        <v>138</v>
      </c>
      <c r="J96" t="s">
        <v>139</v>
      </c>
      <c r="K96" t="s">
        <v>140</v>
      </c>
      <c r="L96" t="s">
        <v>498</v>
      </c>
      <c r="M96" t="s">
        <v>499</v>
      </c>
      <c r="N96" t="s">
        <v>500</v>
      </c>
      <c r="O96" t="s">
        <v>501</v>
      </c>
      <c r="P96" t="s">
        <v>82</v>
      </c>
      <c r="Q96" t="s">
        <v>131</v>
      </c>
      <c r="R96" t="s">
        <v>132</v>
      </c>
      <c r="S96" t="s">
        <v>141</v>
      </c>
      <c r="T96" s="15">
        <v>46535</v>
      </c>
      <c r="U96">
        <v>608</v>
      </c>
      <c r="V96">
        <v>11.66</v>
      </c>
      <c r="W96" t="s">
        <v>70</v>
      </c>
      <c r="X96" t="s">
        <v>85</v>
      </c>
      <c r="Y96">
        <v>1</v>
      </c>
      <c r="Z96">
        <v>0</v>
      </c>
      <c r="AA96">
        <v>0</v>
      </c>
    </row>
    <row r="97" spans="1:27" x14ac:dyDescent="0.3">
      <c r="A97" t="s">
        <v>507</v>
      </c>
      <c r="B97" s="15">
        <v>45931</v>
      </c>
      <c r="C97" t="s">
        <v>497</v>
      </c>
      <c r="D97" t="s">
        <v>55</v>
      </c>
      <c r="E97" t="s">
        <v>134</v>
      </c>
      <c r="F97" t="s">
        <v>135</v>
      </c>
      <c r="G97" t="s">
        <v>136</v>
      </c>
      <c r="H97" t="s">
        <v>137</v>
      </c>
      <c r="I97" t="s">
        <v>138</v>
      </c>
      <c r="J97" t="s">
        <v>139</v>
      </c>
      <c r="K97" t="s">
        <v>140</v>
      </c>
      <c r="L97" t="s">
        <v>170</v>
      </c>
      <c r="M97" t="s">
        <v>508</v>
      </c>
      <c r="N97" t="s">
        <v>509</v>
      </c>
      <c r="O97" t="s">
        <v>510</v>
      </c>
      <c r="P97" t="s">
        <v>82</v>
      </c>
      <c r="Q97" t="s">
        <v>131</v>
      </c>
      <c r="R97" t="s">
        <v>132</v>
      </c>
      <c r="S97" t="s">
        <v>141</v>
      </c>
      <c r="T97" s="15">
        <v>46535</v>
      </c>
      <c r="U97">
        <v>608</v>
      </c>
      <c r="V97">
        <v>11.66</v>
      </c>
      <c r="W97" t="s">
        <v>70</v>
      </c>
      <c r="X97" t="s">
        <v>85</v>
      </c>
      <c r="Y97">
        <v>1</v>
      </c>
      <c r="Z97">
        <v>0</v>
      </c>
      <c r="AA97">
        <v>0</v>
      </c>
    </row>
    <row r="98" spans="1:27" x14ac:dyDescent="0.3">
      <c r="A98" t="s">
        <v>511</v>
      </c>
      <c r="B98" s="15">
        <v>45931</v>
      </c>
      <c r="C98" t="s">
        <v>73</v>
      </c>
      <c r="D98" t="s">
        <v>55</v>
      </c>
      <c r="E98" t="s">
        <v>134</v>
      </c>
      <c r="F98" t="s">
        <v>135</v>
      </c>
      <c r="G98" t="s">
        <v>136</v>
      </c>
      <c r="H98" t="s">
        <v>137</v>
      </c>
      <c r="I98" t="s">
        <v>138</v>
      </c>
      <c r="J98" t="s">
        <v>139</v>
      </c>
      <c r="K98" t="s">
        <v>140</v>
      </c>
      <c r="L98" t="s">
        <v>170</v>
      </c>
      <c r="M98" t="s">
        <v>512</v>
      </c>
      <c r="N98" t="s">
        <v>513</v>
      </c>
      <c r="O98" t="s">
        <v>514</v>
      </c>
      <c r="P98" t="s">
        <v>82</v>
      </c>
      <c r="Q98" t="s">
        <v>131</v>
      </c>
      <c r="R98" t="s">
        <v>132</v>
      </c>
      <c r="S98" t="s">
        <v>141</v>
      </c>
      <c r="T98" s="15">
        <v>46535</v>
      </c>
      <c r="U98">
        <v>608</v>
      </c>
      <c r="V98">
        <v>11.66</v>
      </c>
      <c r="W98" t="s">
        <v>70</v>
      </c>
      <c r="X98" t="s">
        <v>85</v>
      </c>
      <c r="Y98">
        <v>1</v>
      </c>
      <c r="Z98">
        <v>0</v>
      </c>
      <c r="AA98">
        <v>0</v>
      </c>
    </row>
    <row r="99" spans="1:27" x14ac:dyDescent="0.3">
      <c r="A99" t="s">
        <v>717</v>
      </c>
      <c r="B99" s="15">
        <v>45931</v>
      </c>
      <c r="C99" t="s">
        <v>272</v>
      </c>
      <c r="D99" t="s">
        <v>55</v>
      </c>
      <c r="E99" t="s">
        <v>134</v>
      </c>
      <c r="F99" t="s">
        <v>135</v>
      </c>
      <c r="G99" t="s">
        <v>136</v>
      </c>
      <c r="H99" t="s">
        <v>137</v>
      </c>
      <c r="I99" t="s">
        <v>138</v>
      </c>
      <c r="J99" t="s">
        <v>139</v>
      </c>
      <c r="K99" t="s">
        <v>140</v>
      </c>
      <c r="L99" t="s">
        <v>718</v>
      </c>
      <c r="M99" t="s">
        <v>719</v>
      </c>
      <c r="N99" t="s">
        <v>720</v>
      </c>
      <c r="O99" t="s">
        <v>721</v>
      </c>
      <c r="P99" t="s">
        <v>82</v>
      </c>
      <c r="Q99" t="s">
        <v>131</v>
      </c>
      <c r="R99" t="s">
        <v>132</v>
      </c>
      <c r="S99" t="s">
        <v>141</v>
      </c>
      <c r="T99" s="15">
        <v>46535</v>
      </c>
      <c r="U99">
        <v>608</v>
      </c>
      <c r="V99">
        <v>11.66</v>
      </c>
      <c r="W99" t="s">
        <v>70</v>
      </c>
      <c r="X99" t="s">
        <v>85</v>
      </c>
      <c r="Y99">
        <v>1</v>
      </c>
      <c r="Z99">
        <v>0</v>
      </c>
      <c r="AA99">
        <v>0</v>
      </c>
    </row>
    <row r="100" spans="1:27" x14ac:dyDescent="0.3">
      <c r="A100" t="s">
        <v>722</v>
      </c>
      <c r="B100" s="15">
        <v>45752</v>
      </c>
      <c r="C100" t="s">
        <v>93</v>
      </c>
      <c r="D100" t="s">
        <v>55</v>
      </c>
      <c r="E100" t="s">
        <v>347</v>
      </c>
      <c r="F100" t="s">
        <v>723</v>
      </c>
      <c r="G100" t="s">
        <v>349</v>
      </c>
      <c r="H100" t="s">
        <v>724</v>
      </c>
      <c r="I100" t="s">
        <v>113</v>
      </c>
      <c r="J100" t="s">
        <v>114</v>
      </c>
      <c r="K100" t="s">
        <v>115</v>
      </c>
      <c r="L100" t="s">
        <v>63</v>
      </c>
      <c r="M100" t="s">
        <v>725</v>
      </c>
      <c r="N100" t="s">
        <v>726</v>
      </c>
      <c r="O100" t="s">
        <v>727</v>
      </c>
      <c r="P100" t="s">
        <v>119</v>
      </c>
      <c r="Q100" t="s">
        <v>546</v>
      </c>
      <c r="R100" t="s">
        <v>547</v>
      </c>
      <c r="S100" t="s">
        <v>728</v>
      </c>
      <c r="T100" s="15">
        <v>46840</v>
      </c>
      <c r="U100">
        <v>600</v>
      </c>
      <c r="V100">
        <v>5.86</v>
      </c>
      <c r="W100" t="s">
        <v>70</v>
      </c>
      <c r="X100" t="s">
        <v>123</v>
      </c>
      <c r="Y100">
        <v>0</v>
      </c>
      <c r="Z100">
        <v>0</v>
      </c>
      <c r="AA100">
        <v>0</v>
      </c>
    </row>
    <row r="101" spans="1:27" x14ac:dyDescent="0.3">
      <c r="A101" t="s">
        <v>729</v>
      </c>
      <c r="B101" s="15">
        <v>45931</v>
      </c>
      <c r="C101" t="s">
        <v>272</v>
      </c>
      <c r="D101" t="s">
        <v>55</v>
      </c>
      <c r="E101" t="s">
        <v>143</v>
      </c>
      <c r="F101" t="s">
        <v>144</v>
      </c>
      <c r="G101" t="s">
        <v>145</v>
      </c>
      <c r="H101" t="s">
        <v>146</v>
      </c>
      <c r="I101" t="s">
        <v>147</v>
      </c>
      <c r="J101" t="s">
        <v>148</v>
      </c>
      <c r="K101" t="s">
        <v>149</v>
      </c>
      <c r="L101" t="s">
        <v>718</v>
      </c>
      <c r="M101" t="s">
        <v>730</v>
      </c>
      <c r="N101" t="s">
        <v>731</v>
      </c>
      <c r="O101" t="s">
        <v>732</v>
      </c>
      <c r="P101" t="s">
        <v>82</v>
      </c>
      <c r="Q101" t="s">
        <v>151</v>
      </c>
      <c r="R101" t="s">
        <v>152</v>
      </c>
      <c r="S101" t="s">
        <v>153</v>
      </c>
      <c r="T101" s="15">
        <v>47538</v>
      </c>
      <c r="U101">
        <v>600</v>
      </c>
      <c r="V101">
        <v>2.98</v>
      </c>
      <c r="W101" t="s">
        <v>70</v>
      </c>
      <c r="X101" t="s">
        <v>85</v>
      </c>
      <c r="Y101">
        <v>1</v>
      </c>
      <c r="Z101">
        <v>0</v>
      </c>
      <c r="AA101">
        <v>0</v>
      </c>
    </row>
    <row r="102" spans="1:27" x14ac:dyDescent="0.3">
      <c r="A102" t="s">
        <v>733</v>
      </c>
      <c r="B102" s="15">
        <v>45931</v>
      </c>
      <c r="C102" t="s">
        <v>179</v>
      </c>
      <c r="D102" t="s">
        <v>55</v>
      </c>
      <c r="E102" t="s">
        <v>143</v>
      </c>
      <c r="F102" t="s">
        <v>144</v>
      </c>
      <c r="G102" t="s">
        <v>145</v>
      </c>
      <c r="H102" t="s">
        <v>146</v>
      </c>
      <c r="I102" t="s">
        <v>147</v>
      </c>
      <c r="J102" t="s">
        <v>148</v>
      </c>
      <c r="K102" t="s">
        <v>149</v>
      </c>
      <c r="L102" t="s">
        <v>100</v>
      </c>
      <c r="M102" t="s">
        <v>734</v>
      </c>
      <c r="N102" t="s">
        <v>735</v>
      </c>
      <c r="O102" t="s">
        <v>736</v>
      </c>
      <c r="P102" t="s">
        <v>82</v>
      </c>
      <c r="Q102" t="s">
        <v>151</v>
      </c>
      <c r="R102" t="s">
        <v>152</v>
      </c>
      <c r="S102" t="s">
        <v>153</v>
      </c>
      <c r="T102" s="15">
        <v>47538</v>
      </c>
      <c r="U102">
        <v>600</v>
      </c>
      <c r="V102">
        <v>2.98</v>
      </c>
      <c r="W102" t="s">
        <v>70</v>
      </c>
      <c r="X102" t="s">
        <v>85</v>
      </c>
      <c r="Y102">
        <v>1</v>
      </c>
      <c r="Z102">
        <v>0</v>
      </c>
      <c r="AA102">
        <v>0</v>
      </c>
    </row>
    <row r="103" spans="1:27" x14ac:dyDescent="0.3">
      <c r="A103" t="s">
        <v>737</v>
      </c>
      <c r="B103" s="15">
        <v>45931</v>
      </c>
      <c r="C103" t="s">
        <v>93</v>
      </c>
      <c r="D103" t="s">
        <v>55</v>
      </c>
      <c r="E103" t="s">
        <v>143</v>
      </c>
      <c r="F103" t="s">
        <v>144</v>
      </c>
      <c r="G103" t="s">
        <v>145</v>
      </c>
      <c r="H103" t="s">
        <v>146</v>
      </c>
      <c r="I103" t="s">
        <v>147</v>
      </c>
      <c r="J103" t="s">
        <v>148</v>
      </c>
      <c r="K103" t="s">
        <v>149</v>
      </c>
      <c r="L103" t="s">
        <v>738</v>
      </c>
      <c r="M103" t="s">
        <v>739</v>
      </c>
      <c r="N103" t="s">
        <v>740</v>
      </c>
      <c r="O103" t="s">
        <v>741</v>
      </c>
      <c r="P103" t="s">
        <v>82</v>
      </c>
      <c r="Q103" t="s">
        <v>151</v>
      </c>
      <c r="R103" t="s">
        <v>152</v>
      </c>
      <c r="S103" t="s">
        <v>153</v>
      </c>
      <c r="T103" s="15">
        <v>47538</v>
      </c>
      <c r="U103">
        <v>600</v>
      </c>
      <c r="V103">
        <v>2.98</v>
      </c>
      <c r="W103" t="s">
        <v>70</v>
      </c>
      <c r="X103" t="s">
        <v>85</v>
      </c>
      <c r="Y103">
        <v>1</v>
      </c>
      <c r="Z103">
        <v>0</v>
      </c>
      <c r="AA103">
        <v>0</v>
      </c>
    </row>
    <row r="104" spans="1:27" x14ac:dyDescent="0.3">
      <c r="A104" t="s">
        <v>742</v>
      </c>
      <c r="B104" s="15">
        <v>45931</v>
      </c>
      <c r="C104" t="s">
        <v>743</v>
      </c>
      <c r="D104" t="s">
        <v>55</v>
      </c>
      <c r="E104" t="s">
        <v>143</v>
      </c>
      <c r="F104" t="s">
        <v>144</v>
      </c>
      <c r="G104" t="s">
        <v>145</v>
      </c>
      <c r="H104" t="s">
        <v>146</v>
      </c>
      <c r="I104" t="s">
        <v>147</v>
      </c>
      <c r="J104" t="s">
        <v>148</v>
      </c>
      <c r="K104" t="s">
        <v>149</v>
      </c>
      <c r="L104" t="s">
        <v>718</v>
      </c>
      <c r="M104" t="s">
        <v>719</v>
      </c>
      <c r="N104" t="s">
        <v>720</v>
      </c>
      <c r="O104" t="s">
        <v>744</v>
      </c>
      <c r="P104" t="s">
        <v>82</v>
      </c>
      <c r="Q104" t="s">
        <v>151</v>
      </c>
      <c r="R104" t="s">
        <v>152</v>
      </c>
      <c r="S104" t="s">
        <v>153</v>
      </c>
      <c r="T104" s="15">
        <v>47538</v>
      </c>
      <c r="U104">
        <v>600</v>
      </c>
      <c r="V104">
        <v>2.98</v>
      </c>
      <c r="W104" t="s">
        <v>70</v>
      </c>
      <c r="X104" t="s">
        <v>85</v>
      </c>
      <c r="Y104">
        <v>1</v>
      </c>
      <c r="Z104">
        <v>0</v>
      </c>
      <c r="AA104">
        <v>0</v>
      </c>
    </row>
    <row r="105" spans="1:27" x14ac:dyDescent="0.3">
      <c r="A105" t="s">
        <v>745</v>
      </c>
      <c r="B105" s="15">
        <v>45931</v>
      </c>
      <c r="C105" t="s">
        <v>95</v>
      </c>
      <c r="D105" t="s">
        <v>55</v>
      </c>
      <c r="E105" t="s">
        <v>143</v>
      </c>
      <c r="F105" t="s">
        <v>144</v>
      </c>
      <c r="G105" t="s">
        <v>145</v>
      </c>
      <c r="H105" t="s">
        <v>146</v>
      </c>
      <c r="I105" t="s">
        <v>147</v>
      </c>
      <c r="J105" t="s">
        <v>148</v>
      </c>
      <c r="K105" t="s">
        <v>149</v>
      </c>
      <c r="L105" t="s">
        <v>186</v>
      </c>
      <c r="M105" t="s">
        <v>504</v>
      </c>
      <c r="N105" t="s">
        <v>505</v>
      </c>
      <c r="O105" t="s">
        <v>746</v>
      </c>
      <c r="P105" t="s">
        <v>82</v>
      </c>
      <c r="Q105" t="s">
        <v>151</v>
      </c>
      <c r="R105" t="s">
        <v>152</v>
      </c>
      <c r="S105" t="s">
        <v>153</v>
      </c>
      <c r="T105" s="15">
        <v>47538</v>
      </c>
      <c r="U105">
        <v>600</v>
      </c>
      <c r="V105">
        <v>2.98</v>
      </c>
      <c r="W105" t="s">
        <v>70</v>
      </c>
      <c r="X105" t="s">
        <v>85</v>
      </c>
      <c r="Y105">
        <v>1</v>
      </c>
      <c r="Z105">
        <v>0</v>
      </c>
      <c r="AA105">
        <v>0</v>
      </c>
    </row>
    <row r="106" spans="1:27" x14ac:dyDescent="0.3">
      <c r="A106" t="s">
        <v>747</v>
      </c>
      <c r="B106" s="15">
        <v>45931</v>
      </c>
      <c r="C106" t="s">
        <v>93</v>
      </c>
      <c r="D106" t="s">
        <v>55</v>
      </c>
      <c r="E106" t="s">
        <v>143</v>
      </c>
      <c r="F106" t="s">
        <v>144</v>
      </c>
      <c r="G106" t="s">
        <v>145</v>
      </c>
      <c r="H106" t="s">
        <v>146</v>
      </c>
      <c r="I106" t="s">
        <v>147</v>
      </c>
      <c r="J106" t="s">
        <v>148</v>
      </c>
      <c r="K106" t="s">
        <v>149</v>
      </c>
      <c r="L106" t="s">
        <v>100</v>
      </c>
      <c r="M106" t="s">
        <v>748</v>
      </c>
      <c r="N106" t="s">
        <v>749</v>
      </c>
      <c r="O106" t="s">
        <v>750</v>
      </c>
      <c r="P106" t="s">
        <v>82</v>
      </c>
      <c r="Q106" t="s">
        <v>151</v>
      </c>
      <c r="R106" t="s">
        <v>152</v>
      </c>
      <c r="S106" t="s">
        <v>153</v>
      </c>
      <c r="T106" s="15">
        <v>47538</v>
      </c>
      <c r="U106">
        <v>600</v>
      </c>
      <c r="V106">
        <v>2.98</v>
      </c>
      <c r="W106" t="s">
        <v>70</v>
      </c>
      <c r="X106" t="s">
        <v>85</v>
      </c>
      <c r="Y106">
        <v>1</v>
      </c>
      <c r="Z106">
        <v>0</v>
      </c>
      <c r="AA106">
        <v>0</v>
      </c>
    </row>
    <row r="107" spans="1:27" x14ac:dyDescent="0.3">
      <c r="A107" t="s">
        <v>729</v>
      </c>
      <c r="B107" s="15">
        <v>45931</v>
      </c>
      <c r="C107" t="s">
        <v>272</v>
      </c>
      <c r="D107" t="s">
        <v>55</v>
      </c>
      <c r="E107" t="s">
        <v>154</v>
      </c>
      <c r="F107" t="s">
        <v>155</v>
      </c>
      <c r="G107" t="s">
        <v>156</v>
      </c>
      <c r="H107" t="s">
        <v>157</v>
      </c>
      <c r="I107" t="s">
        <v>158</v>
      </c>
      <c r="J107" t="s">
        <v>139</v>
      </c>
      <c r="K107" t="s">
        <v>140</v>
      </c>
      <c r="L107" t="s">
        <v>718</v>
      </c>
      <c r="M107" t="s">
        <v>730</v>
      </c>
      <c r="N107" t="s">
        <v>731</v>
      </c>
      <c r="O107" t="s">
        <v>732</v>
      </c>
      <c r="P107" t="s">
        <v>82</v>
      </c>
      <c r="Q107" t="s">
        <v>159</v>
      </c>
      <c r="R107" t="s">
        <v>160</v>
      </c>
      <c r="S107" t="s">
        <v>161</v>
      </c>
      <c r="T107" s="15">
        <v>47389</v>
      </c>
      <c r="U107">
        <v>600</v>
      </c>
      <c r="V107">
        <v>4.24</v>
      </c>
      <c r="W107" t="s">
        <v>70</v>
      </c>
      <c r="X107" t="s">
        <v>85</v>
      </c>
      <c r="Y107">
        <v>1</v>
      </c>
      <c r="Z107">
        <v>0</v>
      </c>
      <c r="AA107">
        <v>0</v>
      </c>
    </row>
    <row r="108" spans="1:27" x14ac:dyDescent="0.3">
      <c r="A108" t="s">
        <v>733</v>
      </c>
      <c r="B108" s="15">
        <v>45931</v>
      </c>
      <c r="C108" t="s">
        <v>179</v>
      </c>
      <c r="D108" t="s">
        <v>55</v>
      </c>
      <c r="E108" t="s">
        <v>154</v>
      </c>
      <c r="F108" t="s">
        <v>155</v>
      </c>
      <c r="G108" t="s">
        <v>156</v>
      </c>
      <c r="H108" t="s">
        <v>157</v>
      </c>
      <c r="I108" t="s">
        <v>158</v>
      </c>
      <c r="J108" t="s">
        <v>139</v>
      </c>
      <c r="K108" t="s">
        <v>140</v>
      </c>
      <c r="L108" t="s">
        <v>100</v>
      </c>
      <c r="M108" t="s">
        <v>734</v>
      </c>
      <c r="N108" t="s">
        <v>735</v>
      </c>
      <c r="O108" t="s">
        <v>736</v>
      </c>
      <c r="P108" t="s">
        <v>82</v>
      </c>
      <c r="Q108" t="s">
        <v>159</v>
      </c>
      <c r="R108" t="s">
        <v>160</v>
      </c>
      <c r="S108" t="s">
        <v>161</v>
      </c>
      <c r="T108" s="15">
        <v>47389</v>
      </c>
      <c r="U108">
        <v>600</v>
      </c>
      <c r="V108">
        <v>4.24</v>
      </c>
      <c r="W108" t="s">
        <v>70</v>
      </c>
      <c r="X108" t="s">
        <v>85</v>
      </c>
      <c r="Y108">
        <v>1</v>
      </c>
      <c r="Z108">
        <v>0</v>
      </c>
      <c r="AA108">
        <v>0</v>
      </c>
    </row>
    <row r="109" spans="1:27" x14ac:dyDescent="0.3">
      <c r="A109" t="s">
        <v>737</v>
      </c>
      <c r="B109" s="15">
        <v>45931</v>
      </c>
      <c r="C109" t="s">
        <v>93</v>
      </c>
      <c r="D109" t="s">
        <v>55</v>
      </c>
      <c r="E109" t="s">
        <v>154</v>
      </c>
      <c r="F109" t="s">
        <v>155</v>
      </c>
      <c r="G109" t="s">
        <v>156</v>
      </c>
      <c r="H109" t="s">
        <v>157</v>
      </c>
      <c r="I109" t="s">
        <v>158</v>
      </c>
      <c r="J109" t="s">
        <v>139</v>
      </c>
      <c r="K109" t="s">
        <v>140</v>
      </c>
      <c r="L109" t="s">
        <v>738</v>
      </c>
      <c r="M109" t="s">
        <v>739</v>
      </c>
      <c r="N109" t="s">
        <v>740</v>
      </c>
      <c r="O109" t="s">
        <v>741</v>
      </c>
      <c r="P109" t="s">
        <v>82</v>
      </c>
      <c r="Q109" t="s">
        <v>159</v>
      </c>
      <c r="R109" t="s">
        <v>160</v>
      </c>
      <c r="S109" t="s">
        <v>161</v>
      </c>
      <c r="T109" s="15">
        <v>47389</v>
      </c>
      <c r="U109">
        <v>600</v>
      </c>
      <c r="V109">
        <v>4.24</v>
      </c>
      <c r="W109" t="s">
        <v>70</v>
      </c>
      <c r="X109" t="s">
        <v>85</v>
      </c>
      <c r="Y109">
        <v>1</v>
      </c>
      <c r="Z109">
        <v>0</v>
      </c>
      <c r="AA109">
        <v>0</v>
      </c>
    </row>
    <row r="110" spans="1:27" x14ac:dyDescent="0.3">
      <c r="A110" t="s">
        <v>742</v>
      </c>
      <c r="B110" s="15">
        <v>45931</v>
      </c>
      <c r="C110" t="s">
        <v>743</v>
      </c>
      <c r="D110" t="s">
        <v>55</v>
      </c>
      <c r="E110" t="s">
        <v>154</v>
      </c>
      <c r="F110" t="s">
        <v>155</v>
      </c>
      <c r="G110" t="s">
        <v>156</v>
      </c>
      <c r="H110" t="s">
        <v>157</v>
      </c>
      <c r="I110" t="s">
        <v>158</v>
      </c>
      <c r="J110" t="s">
        <v>139</v>
      </c>
      <c r="K110" t="s">
        <v>140</v>
      </c>
      <c r="L110" t="s">
        <v>718</v>
      </c>
      <c r="M110" t="s">
        <v>719</v>
      </c>
      <c r="N110" t="s">
        <v>720</v>
      </c>
      <c r="O110" t="s">
        <v>744</v>
      </c>
      <c r="P110" t="s">
        <v>82</v>
      </c>
      <c r="Q110" t="s">
        <v>159</v>
      </c>
      <c r="R110" t="s">
        <v>160</v>
      </c>
      <c r="S110" t="s">
        <v>161</v>
      </c>
      <c r="T110" s="15">
        <v>47389</v>
      </c>
      <c r="U110">
        <v>600</v>
      </c>
      <c r="V110">
        <v>4.24</v>
      </c>
      <c r="W110" t="s">
        <v>70</v>
      </c>
      <c r="X110" t="s">
        <v>85</v>
      </c>
      <c r="Y110">
        <v>1</v>
      </c>
      <c r="Z110">
        <v>0</v>
      </c>
      <c r="AA110">
        <v>0</v>
      </c>
    </row>
    <row r="111" spans="1:27" x14ac:dyDescent="0.3">
      <c r="A111" t="s">
        <v>745</v>
      </c>
      <c r="B111" s="15">
        <v>45931</v>
      </c>
      <c r="C111" t="s">
        <v>95</v>
      </c>
      <c r="D111" t="s">
        <v>55</v>
      </c>
      <c r="E111" t="s">
        <v>154</v>
      </c>
      <c r="F111" t="s">
        <v>155</v>
      </c>
      <c r="G111" t="s">
        <v>156</v>
      </c>
      <c r="H111" t="s">
        <v>157</v>
      </c>
      <c r="I111" t="s">
        <v>158</v>
      </c>
      <c r="J111" t="s">
        <v>139</v>
      </c>
      <c r="K111" t="s">
        <v>140</v>
      </c>
      <c r="L111" t="s">
        <v>186</v>
      </c>
      <c r="M111" t="s">
        <v>504</v>
      </c>
      <c r="N111" t="s">
        <v>505</v>
      </c>
      <c r="O111" t="s">
        <v>746</v>
      </c>
      <c r="P111" t="s">
        <v>82</v>
      </c>
      <c r="Q111" t="s">
        <v>159</v>
      </c>
      <c r="R111" t="s">
        <v>160</v>
      </c>
      <c r="S111" t="s">
        <v>161</v>
      </c>
      <c r="T111" s="15">
        <v>47389</v>
      </c>
      <c r="U111">
        <v>600</v>
      </c>
      <c r="V111">
        <v>4.24</v>
      </c>
      <c r="W111" t="s">
        <v>70</v>
      </c>
      <c r="X111" t="s">
        <v>85</v>
      </c>
      <c r="Y111">
        <v>1</v>
      </c>
      <c r="Z111">
        <v>0</v>
      </c>
      <c r="AA111">
        <v>0</v>
      </c>
    </row>
    <row r="112" spans="1:27" x14ac:dyDescent="0.3">
      <c r="A112" t="s">
        <v>747</v>
      </c>
      <c r="B112" s="15">
        <v>45931</v>
      </c>
      <c r="C112" t="s">
        <v>93</v>
      </c>
      <c r="D112" t="s">
        <v>55</v>
      </c>
      <c r="E112" t="s">
        <v>154</v>
      </c>
      <c r="F112" t="s">
        <v>155</v>
      </c>
      <c r="G112" t="s">
        <v>156</v>
      </c>
      <c r="H112" t="s">
        <v>157</v>
      </c>
      <c r="I112" t="s">
        <v>158</v>
      </c>
      <c r="J112" t="s">
        <v>139</v>
      </c>
      <c r="K112" t="s">
        <v>140</v>
      </c>
      <c r="L112" t="s">
        <v>100</v>
      </c>
      <c r="M112" t="s">
        <v>748</v>
      </c>
      <c r="N112" t="s">
        <v>749</v>
      </c>
      <c r="O112" t="s">
        <v>750</v>
      </c>
      <c r="P112" t="s">
        <v>82</v>
      </c>
      <c r="Q112" t="s">
        <v>159</v>
      </c>
      <c r="R112" t="s">
        <v>160</v>
      </c>
      <c r="S112" t="s">
        <v>161</v>
      </c>
      <c r="T112" s="15">
        <v>47389</v>
      </c>
      <c r="U112">
        <v>600</v>
      </c>
      <c r="V112">
        <v>4.24</v>
      </c>
      <c r="W112" t="s">
        <v>70</v>
      </c>
      <c r="X112" t="s">
        <v>85</v>
      </c>
      <c r="Y112">
        <v>1</v>
      </c>
      <c r="Z112">
        <v>0</v>
      </c>
      <c r="AA112">
        <v>0</v>
      </c>
    </row>
    <row r="113" spans="1:27" x14ac:dyDescent="0.3">
      <c r="A113" t="s">
        <v>397</v>
      </c>
      <c r="B113" s="15">
        <v>45931</v>
      </c>
      <c r="C113" t="s">
        <v>398</v>
      </c>
      <c r="D113" t="s">
        <v>55</v>
      </c>
      <c r="E113" t="s">
        <v>413</v>
      </c>
      <c r="F113" t="s">
        <v>414</v>
      </c>
      <c r="G113" t="s">
        <v>415</v>
      </c>
      <c r="H113" t="s">
        <v>416</v>
      </c>
      <c r="I113" t="s">
        <v>417</v>
      </c>
      <c r="J113" t="s">
        <v>418</v>
      </c>
      <c r="K113" t="s">
        <v>419</v>
      </c>
      <c r="L113" t="s">
        <v>170</v>
      </c>
      <c r="M113" t="s">
        <v>171</v>
      </c>
      <c r="N113" t="s">
        <v>172</v>
      </c>
      <c r="O113" t="s">
        <v>399</v>
      </c>
      <c r="P113" t="s">
        <v>82</v>
      </c>
      <c r="Q113" t="s">
        <v>420</v>
      </c>
      <c r="R113" t="s">
        <v>421</v>
      </c>
      <c r="S113" t="s">
        <v>422</v>
      </c>
      <c r="T113" s="15">
        <v>46719</v>
      </c>
      <c r="U113">
        <v>600</v>
      </c>
      <c r="V113">
        <v>3.9</v>
      </c>
      <c r="W113" t="s">
        <v>70</v>
      </c>
      <c r="X113" t="s">
        <v>85</v>
      </c>
      <c r="Y113">
        <v>1</v>
      </c>
      <c r="Z113">
        <v>0</v>
      </c>
      <c r="AA113">
        <v>0</v>
      </c>
    </row>
    <row r="114" spans="1:27" x14ac:dyDescent="0.3">
      <c r="A114" t="s">
        <v>751</v>
      </c>
      <c r="B114" s="15">
        <v>45931</v>
      </c>
      <c r="C114" t="s">
        <v>503</v>
      </c>
      <c r="D114" t="s">
        <v>55</v>
      </c>
      <c r="E114" t="s">
        <v>579</v>
      </c>
      <c r="F114" t="s">
        <v>580</v>
      </c>
      <c r="G114" t="s">
        <v>581</v>
      </c>
      <c r="H114" t="s">
        <v>582</v>
      </c>
      <c r="I114" t="s">
        <v>583</v>
      </c>
      <c r="J114" t="s">
        <v>79</v>
      </c>
      <c r="K114" t="s">
        <v>80</v>
      </c>
      <c r="L114" t="s">
        <v>100</v>
      </c>
      <c r="M114" t="s">
        <v>752</v>
      </c>
      <c r="N114" t="s">
        <v>753</v>
      </c>
      <c r="O114" t="s">
        <v>754</v>
      </c>
      <c r="P114" t="s">
        <v>82</v>
      </c>
      <c r="Q114" t="s">
        <v>584</v>
      </c>
      <c r="R114" t="s">
        <v>585</v>
      </c>
      <c r="S114" t="s">
        <v>586</v>
      </c>
      <c r="T114" s="15">
        <v>46596</v>
      </c>
      <c r="U114">
        <v>600</v>
      </c>
      <c r="V114">
        <v>2.82</v>
      </c>
      <c r="W114" t="s">
        <v>70</v>
      </c>
      <c r="X114" t="s">
        <v>85</v>
      </c>
      <c r="Y114">
        <v>1</v>
      </c>
      <c r="Z114">
        <v>0</v>
      </c>
      <c r="AA114">
        <v>0</v>
      </c>
    </row>
    <row r="115" spans="1:27" x14ac:dyDescent="0.3">
      <c r="A115" t="s">
        <v>596</v>
      </c>
      <c r="B115" s="15">
        <v>45842</v>
      </c>
      <c r="C115" t="s">
        <v>497</v>
      </c>
      <c r="D115" t="s">
        <v>55</v>
      </c>
      <c r="E115" t="s">
        <v>755</v>
      </c>
      <c r="F115" t="s">
        <v>756</v>
      </c>
      <c r="G115" t="s">
        <v>757</v>
      </c>
      <c r="H115" t="s">
        <v>758</v>
      </c>
      <c r="I115" t="s">
        <v>759</v>
      </c>
      <c r="J115" t="s">
        <v>760</v>
      </c>
      <c r="K115" t="s">
        <v>761</v>
      </c>
      <c r="L115" t="s">
        <v>87</v>
      </c>
      <c r="M115" t="s">
        <v>601</v>
      </c>
      <c r="N115" t="s">
        <v>602</v>
      </c>
      <c r="O115" t="s">
        <v>603</v>
      </c>
      <c r="P115" t="s">
        <v>82</v>
      </c>
      <c r="Q115" t="s">
        <v>762</v>
      </c>
      <c r="R115" t="s">
        <v>763</v>
      </c>
      <c r="S115" t="s">
        <v>764</v>
      </c>
      <c r="T115" s="15">
        <v>46474</v>
      </c>
      <c r="U115">
        <v>595</v>
      </c>
      <c r="V115">
        <v>10.37</v>
      </c>
      <c r="W115" t="s">
        <v>70</v>
      </c>
      <c r="X115" t="s">
        <v>107</v>
      </c>
      <c r="Y115">
        <v>1</v>
      </c>
      <c r="Z115">
        <v>0</v>
      </c>
      <c r="AA115">
        <v>0</v>
      </c>
    </row>
    <row r="116" spans="1:27" x14ac:dyDescent="0.3">
      <c r="A116" t="s">
        <v>765</v>
      </c>
      <c r="B116" s="15">
        <v>45815</v>
      </c>
      <c r="C116" t="s">
        <v>272</v>
      </c>
      <c r="D116" t="s">
        <v>55</v>
      </c>
      <c r="E116" t="s">
        <v>558</v>
      </c>
      <c r="F116" t="s">
        <v>559</v>
      </c>
      <c r="G116" t="s">
        <v>560</v>
      </c>
      <c r="H116" t="s">
        <v>561</v>
      </c>
      <c r="I116" t="s">
        <v>254</v>
      </c>
      <c r="J116" t="s">
        <v>139</v>
      </c>
      <c r="K116" t="s">
        <v>140</v>
      </c>
      <c r="L116" t="s">
        <v>186</v>
      </c>
      <c r="M116" t="s">
        <v>239</v>
      </c>
      <c r="N116" t="s">
        <v>240</v>
      </c>
      <c r="O116" t="s">
        <v>766</v>
      </c>
      <c r="P116" t="s">
        <v>82</v>
      </c>
      <c r="Q116" t="s">
        <v>562</v>
      </c>
      <c r="R116" t="s">
        <v>563</v>
      </c>
      <c r="S116" t="s">
        <v>564</v>
      </c>
      <c r="T116" s="15">
        <v>46780</v>
      </c>
      <c r="U116">
        <v>581</v>
      </c>
      <c r="V116">
        <v>2.62</v>
      </c>
      <c r="W116" t="s">
        <v>70</v>
      </c>
      <c r="X116" t="s">
        <v>177</v>
      </c>
      <c r="Y116">
        <v>0</v>
      </c>
      <c r="Z116">
        <v>1</v>
      </c>
      <c r="AA116">
        <v>0</v>
      </c>
    </row>
    <row r="117" spans="1:27" x14ac:dyDescent="0.3">
      <c r="A117" t="s">
        <v>767</v>
      </c>
      <c r="B117" s="15">
        <v>45842</v>
      </c>
      <c r="C117" t="s">
        <v>73</v>
      </c>
      <c r="D117" t="s">
        <v>55</v>
      </c>
      <c r="E117" t="s">
        <v>607</v>
      </c>
      <c r="F117" t="s">
        <v>608</v>
      </c>
      <c r="G117" t="s">
        <v>609</v>
      </c>
      <c r="H117" t="s">
        <v>610</v>
      </c>
      <c r="I117" t="s">
        <v>611</v>
      </c>
      <c r="J117" t="s">
        <v>612</v>
      </c>
      <c r="K117" t="s">
        <v>613</v>
      </c>
      <c r="L117" t="s">
        <v>87</v>
      </c>
      <c r="M117" t="s">
        <v>768</v>
      </c>
      <c r="N117" t="s">
        <v>769</v>
      </c>
      <c r="O117" t="s">
        <v>770</v>
      </c>
      <c r="P117" t="s">
        <v>82</v>
      </c>
      <c r="Q117" t="s">
        <v>614</v>
      </c>
      <c r="R117" t="s">
        <v>615</v>
      </c>
      <c r="S117" t="s">
        <v>616</v>
      </c>
      <c r="T117" s="15">
        <v>46323</v>
      </c>
      <c r="U117">
        <v>580</v>
      </c>
      <c r="V117">
        <v>2.93</v>
      </c>
      <c r="W117" t="s">
        <v>70</v>
      </c>
      <c r="X117" t="s">
        <v>107</v>
      </c>
      <c r="Y117">
        <v>1</v>
      </c>
      <c r="Z117">
        <v>0</v>
      </c>
      <c r="AA117">
        <v>0</v>
      </c>
    </row>
    <row r="118" spans="1:27" x14ac:dyDescent="0.3">
      <c r="A118" t="s">
        <v>397</v>
      </c>
      <c r="B118" s="15">
        <v>45931</v>
      </c>
      <c r="C118" t="s">
        <v>398</v>
      </c>
      <c r="D118" t="s">
        <v>55</v>
      </c>
      <c r="E118" t="s">
        <v>522</v>
      </c>
      <c r="F118" t="s">
        <v>523</v>
      </c>
      <c r="G118" t="s">
        <v>524</v>
      </c>
      <c r="H118" t="s">
        <v>525</v>
      </c>
      <c r="I118" t="s">
        <v>526</v>
      </c>
      <c r="J118" t="s">
        <v>527</v>
      </c>
      <c r="K118" t="s">
        <v>528</v>
      </c>
      <c r="L118" t="s">
        <v>170</v>
      </c>
      <c r="M118" t="s">
        <v>171</v>
      </c>
      <c r="N118" t="s">
        <v>172</v>
      </c>
      <c r="O118" t="s">
        <v>399</v>
      </c>
      <c r="P118" t="s">
        <v>82</v>
      </c>
      <c r="Q118" t="s">
        <v>529</v>
      </c>
      <c r="R118" t="s">
        <v>530</v>
      </c>
      <c r="S118" t="s">
        <v>531</v>
      </c>
      <c r="T118" s="15">
        <v>47662</v>
      </c>
      <c r="U118">
        <v>576</v>
      </c>
      <c r="V118">
        <v>6.6</v>
      </c>
      <c r="W118" t="s">
        <v>70</v>
      </c>
      <c r="X118" t="s">
        <v>85</v>
      </c>
      <c r="Y118">
        <v>1</v>
      </c>
      <c r="Z118">
        <v>0</v>
      </c>
      <c r="AA118">
        <v>0</v>
      </c>
    </row>
    <row r="119" spans="1:27" x14ac:dyDescent="0.3">
      <c r="A119" t="s">
        <v>767</v>
      </c>
      <c r="B119" s="15">
        <v>45842</v>
      </c>
      <c r="C119" t="s">
        <v>73</v>
      </c>
      <c r="D119" t="s">
        <v>55</v>
      </c>
      <c r="E119" t="s">
        <v>597</v>
      </c>
      <c r="F119" t="s">
        <v>598</v>
      </c>
      <c r="G119" t="s">
        <v>599</v>
      </c>
      <c r="H119" t="s">
        <v>600</v>
      </c>
      <c r="I119" t="s">
        <v>254</v>
      </c>
      <c r="J119" t="s">
        <v>139</v>
      </c>
      <c r="K119" t="s">
        <v>140</v>
      </c>
      <c r="L119" t="s">
        <v>87</v>
      </c>
      <c r="M119" t="s">
        <v>768</v>
      </c>
      <c r="N119" t="s">
        <v>769</v>
      </c>
      <c r="O119" t="s">
        <v>770</v>
      </c>
      <c r="P119" t="s">
        <v>82</v>
      </c>
      <c r="Q119" t="s">
        <v>604</v>
      </c>
      <c r="R119" t="s">
        <v>605</v>
      </c>
      <c r="S119" t="s">
        <v>606</v>
      </c>
      <c r="T119" s="15">
        <v>46474</v>
      </c>
      <c r="U119">
        <v>572</v>
      </c>
      <c r="V119">
        <v>7.46</v>
      </c>
      <c r="W119" t="s">
        <v>70</v>
      </c>
      <c r="X119" t="s">
        <v>107</v>
      </c>
      <c r="Y119">
        <v>1</v>
      </c>
      <c r="Z119">
        <v>0</v>
      </c>
      <c r="AA119">
        <v>0</v>
      </c>
    </row>
    <row r="120" spans="1:27" x14ac:dyDescent="0.3">
      <c r="A120" t="s">
        <v>767</v>
      </c>
      <c r="B120" s="15">
        <v>45842</v>
      </c>
      <c r="C120" t="s">
        <v>73</v>
      </c>
      <c r="D120" t="s">
        <v>55</v>
      </c>
      <c r="E120" t="s">
        <v>701</v>
      </c>
      <c r="F120" t="s">
        <v>702</v>
      </c>
      <c r="G120" t="s">
        <v>703</v>
      </c>
      <c r="H120" t="s">
        <v>704</v>
      </c>
      <c r="I120" t="s">
        <v>254</v>
      </c>
      <c r="J120" t="s">
        <v>139</v>
      </c>
      <c r="K120" t="s">
        <v>140</v>
      </c>
      <c r="L120" t="s">
        <v>87</v>
      </c>
      <c r="M120" t="s">
        <v>768</v>
      </c>
      <c r="N120" t="s">
        <v>769</v>
      </c>
      <c r="O120" t="s">
        <v>770</v>
      </c>
      <c r="P120" t="s">
        <v>82</v>
      </c>
      <c r="Q120" t="s">
        <v>705</v>
      </c>
      <c r="R120" t="s">
        <v>706</v>
      </c>
      <c r="S120" t="s">
        <v>707</v>
      </c>
      <c r="T120" s="15">
        <v>46415</v>
      </c>
      <c r="U120">
        <v>570</v>
      </c>
      <c r="V120">
        <v>7</v>
      </c>
      <c r="W120" t="s">
        <v>70</v>
      </c>
      <c r="X120" t="s">
        <v>107</v>
      </c>
      <c r="Y120">
        <v>1</v>
      </c>
      <c r="Z120">
        <v>0</v>
      </c>
      <c r="AA120">
        <v>0</v>
      </c>
    </row>
    <row r="121" spans="1:27" x14ac:dyDescent="0.3">
      <c r="A121" t="s">
        <v>142</v>
      </c>
      <c r="B121" s="15">
        <v>45931</v>
      </c>
      <c r="C121" t="s">
        <v>93</v>
      </c>
      <c r="D121" t="s">
        <v>55</v>
      </c>
      <c r="E121" t="s">
        <v>771</v>
      </c>
      <c r="F121" t="s">
        <v>772</v>
      </c>
      <c r="G121" t="s">
        <v>773</v>
      </c>
      <c r="H121" t="s">
        <v>774</v>
      </c>
      <c r="I121" t="s">
        <v>775</v>
      </c>
      <c r="J121" t="s">
        <v>776</v>
      </c>
      <c r="K121" t="s">
        <v>777</v>
      </c>
      <c r="L121" t="s">
        <v>87</v>
      </c>
      <c r="M121" t="s">
        <v>88</v>
      </c>
      <c r="N121" t="s">
        <v>89</v>
      </c>
      <c r="O121" t="s">
        <v>150</v>
      </c>
      <c r="P121" t="s">
        <v>82</v>
      </c>
      <c r="Q121" t="s">
        <v>778</v>
      </c>
      <c r="R121" t="s">
        <v>779</v>
      </c>
      <c r="S121" t="s">
        <v>780</v>
      </c>
      <c r="T121" s="15">
        <v>47542</v>
      </c>
      <c r="U121">
        <v>560</v>
      </c>
      <c r="V121">
        <v>11.85</v>
      </c>
      <c r="W121" t="s">
        <v>70</v>
      </c>
      <c r="X121" t="s">
        <v>85</v>
      </c>
      <c r="Y121">
        <v>0</v>
      </c>
      <c r="Z121">
        <v>0</v>
      </c>
      <c r="AA121">
        <v>0</v>
      </c>
    </row>
    <row r="122" spans="1:27" x14ac:dyDescent="0.3">
      <c r="A122" t="s">
        <v>708</v>
      </c>
      <c r="B122" s="15">
        <v>45815</v>
      </c>
      <c r="C122" t="s">
        <v>497</v>
      </c>
      <c r="D122" t="s">
        <v>55</v>
      </c>
      <c r="E122" t="s">
        <v>607</v>
      </c>
      <c r="F122" t="s">
        <v>608</v>
      </c>
      <c r="G122" t="s">
        <v>609</v>
      </c>
      <c r="H122" t="s">
        <v>610</v>
      </c>
      <c r="I122" t="s">
        <v>611</v>
      </c>
      <c r="J122" t="s">
        <v>612</v>
      </c>
      <c r="K122" t="s">
        <v>613</v>
      </c>
      <c r="L122" t="s">
        <v>186</v>
      </c>
      <c r="M122" t="s">
        <v>713</v>
      </c>
      <c r="N122" t="s">
        <v>714</v>
      </c>
      <c r="O122" t="s">
        <v>715</v>
      </c>
      <c r="P122" t="s">
        <v>82</v>
      </c>
      <c r="Q122" t="s">
        <v>614</v>
      </c>
      <c r="R122" t="s">
        <v>615</v>
      </c>
      <c r="S122" t="s">
        <v>616</v>
      </c>
      <c r="T122" s="15">
        <v>46323</v>
      </c>
      <c r="U122">
        <v>555</v>
      </c>
      <c r="V122">
        <v>2.93</v>
      </c>
      <c r="W122" t="s">
        <v>70</v>
      </c>
      <c r="X122" t="s">
        <v>177</v>
      </c>
      <c r="Y122">
        <v>1</v>
      </c>
      <c r="Z122">
        <v>0</v>
      </c>
      <c r="AA122">
        <v>0</v>
      </c>
    </row>
    <row r="123" spans="1:27" x14ac:dyDescent="0.3">
      <c r="A123" t="s">
        <v>781</v>
      </c>
      <c r="B123" s="15">
        <v>45842</v>
      </c>
      <c r="C123" t="s">
        <v>179</v>
      </c>
      <c r="D123" t="s">
        <v>55</v>
      </c>
      <c r="E123" t="s">
        <v>782</v>
      </c>
      <c r="F123" t="s">
        <v>783</v>
      </c>
      <c r="G123" t="s">
        <v>784</v>
      </c>
      <c r="H123" t="s">
        <v>785</v>
      </c>
      <c r="I123" t="s">
        <v>113</v>
      </c>
      <c r="J123" t="s">
        <v>786</v>
      </c>
      <c r="K123" t="s">
        <v>787</v>
      </c>
      <c r="L123" t="s">
        <v>100</v>
      </c>
      <c r="M123" t="s">
        <v>101</v>
      </c>
      <c r="N123" t="s">
        <v>102</v>
      </c>
      <c r="O123" t="s">
        <v>788</v>
      </c>
      <c r="P123" t="s">
        <v>119</v>
      </c>
      <c r="Q123" t="s">
        <v>151</v>
      </c>
      <c r="R123" t="s">
        <v>152</v>
      </c>
      <c r="S123" t="s">
        <v>789</v>
      </c>
      <c r="T123" s="15">
        <v>47480</v>
      </c>
      <c r="U123">
        <v>550</v>
      </c>
      <c r="V123">
        <v>10.5</v>
      </c>
      <c r="W123" t="s">
        <v>70</v>
      </c>
      <c r="X123" t="s">
        <v>107</v>
      </c>
      <c r="Y123">
        <v>0</v>
      </c>
      <c r="Z123">
        <v>0</v>
      </c>
      <c r="AA123">
        <v>0</v>
      </c>
    </row>
    <row r="124" spans="1:27" x14ac:dyDescent="0.3">
      <c r="A124" t="s">
        <v>397</v>
      </c>
      <c r="B124" s="15">
        <v>45931</v>
      </c>
      <c r="C124" t="s">
        <v>398</v>
      </c>
      <c r="D124" t="s">
        <v>55</v>
      </c>
      <c r="E124" t="s">
        <v>479</v>
      </c>
      <c r="F124" t="s">
        <v>480</v>
      </c>
      <c r="G124" t="s">
        <v>481</v>
      </c>
      <c r="H124" t="s">
        <v>482</v>
      </c>
      <c r="I124" t="s">
        <v>483</v>
      </c>
      <c r="J124" t="s">
        <v>484</v>
      </c>
      <c r="K124" t="s">
        <v>485</v>
      </c>
      <c r="L124" t="s">
        <v>170</v>
      </c>
      <c r="M124" t="s">
        <v>171</v>
      </c>
      <c r="N124" t="s">
        <v>172</v>
      </c>
      <c r="O124" t="s">
        <v>399</v>
      </c>
      <c r="P124" t="s">
        <v>82</v>
      </c>
      <c r="Q124" t="s">
        <v>486</v>
      </c>
      <c r="R124" t="s">
        <v>487</v>
      </c>
      <c r="S124" t="s">
        <v>488</v>
      </c>
      <c r="T124" s="15">
        <v>47358</v>
      </c>
      <c r="U124">
        <v>550</v>
      </c>
      <c r="V124">
        <v>2.85</v>
      </c>
      <c r="W124" t="s">
        <v>70</v>
      </c>
      <c r="X124" t="s">
        <v>85</v>
      </c>
      <c r="Y124">
        <v>1</v>
      </c>
      <c r="Z124">
        <v>0</v>
      </c>
      <c r="AA124">
        <v>0</v>
      </c>
    </row>
    <row r="125" spans="1:27" x14ac:dyDescent="0.3">
      <c r="A125" t="s">
        <v>507</v>
      </c>
      <c r="B125" s="15">
        <v>45931</v>
      </c>
      <c r="C125" t="s">
        <v>497</v>
      </c>
      <c r="D125" t="s">
        <v>55</v>
      </c>
      <c r="E125" t="s">
        <v>313</v>
      </c>
      <c r="F125" t="s">
        <v>790</v>
      </c>
      <c r="G125" t="s">
        <v>315</v>
      </c>
      <c r="H125" t="s">
        <v>791</v>
      </c>
      <c r="I125" t="s">
        <v>128</v>
      </c>
      <c r="J125" t="s">
        <v>129</v>
      </c>
      <c r="K125" t="s">
        <v>130</v>
      </c>
      <c r="L125" t="s">
        <v>170</v>
      </c>
      <c r="M125" t="s">
        <v>508</v>
      </c>
      <c r="N125" t="s">
        <v>509</v>
      </c>
      <c r="O125" t="s">
        <v>510</v>
      </c>
      <c r="P125" t="s">
        <v>82</v>
      </c>
      <c r="Q125" t="s">
        <v>317</v>
      </c>
      <c r="R125" t="s">
        <v>318</v>
      </c>
      <c r="S125" t="s">
        <v>792</v>
      </c>
      <c r="T125" s="15">
        <v>46505</v>
      </c>
      <c r="U125">
        <v>541</v>
      </c>
      <c r="V125">
        <v>10.06</v>
      </c>
      <c r="W125" t="s">
        <v>70</v>
      </c>
      <c r="X125" t="s">
        <v>85</v>
      </c>
      <c r="Y125">
        <v>1</v>
      </c>
      <c r="Z125">
        <v>0</v>
      </c>
      <c r="AA125">
        <v>0</v>
      </c>
    </row>
    <row r="126" spans="1:27" x14ac:dyDescent="0.3">
      <c r="A126" t="s">
        <v>717</v>
      </c>
      <c r="B126" s="15">
        <v>45931</v>
      </c>
      <c r="C126" t="s">
        <v>272</v>
      </c>
      <c r="D126" t="s">
        <v>55</v>
      </c>
      <c r="E126" t="s">
        <v>313</v>
      </c>
      <c r="F126" t="s">
        <v>790</v>
      </c>
      <c r="G126" t="s">
        <v>315</v>
      </c>
      <c r="H126" t="s">
        <v>791</v>
      </c>
      <c r="I126" t="s">
        <v>128</v>
      </c>
      <c r="J126" t="s">
        <v>129</v>
      </c>
      <c r="K126" t="s">
        <v>130</v>
      </c>
      <c r="L126" t="s">
        <v>718</v>
      </c>
      <c r="M126" t="s">
        <v>719</v>
      </c>
      <c r="N126" t="s">
        <v>720</v>
      </c>
      <c r="O126" t="s">
        <v>721</v>
      </c>
      <c r="P126" t="s">
        <v>82</v>
      </c>
      <c r="Q126" t="s">
        <v>317</v>
      </c>
      <c r="R126" t="s">
        <v>318</v>
      </c>
      <c r="S126" t="s">
        <v>792</v>
      </c>
      <c r="T126" s="15">
        <v>46505</v>
      </c>
      <c r="U126">
        <v>541</v>
      </c>
      <c r="V126">
        <v>10.06</v>
      </c>
      <c r="W126" t="s">
        <v>70</v>
      </c>
      <c r="X126" t="s">
        <v>85</v>
      </c>
      <c r="Y126">
        <v>1</v>
      </c>
      <c r="Z126">
        <v>0</v>
      </c>
      <c r="AA126">
        <v>0</v>
      </c>
    </row>
    <row r="127" spans="1:27" x14ac:dyDescent="0.3">
      <c r="A127" t="s">
        <v>502</v>
      </c>
      <c r="B127" s="15">
        <v>45931</v>
      </c>
      <c r="C127" t="s">
        <v>503</v>
      </c>
      <c r="D127" t="s">
        <v>55</v>
      </c>
      <c r="E127" t="s">
        <v>313</v>
      </c>
      <c r="F127" t="s">
        <v>790</v>
      </c>
      <c r="G127" t="s">
        <v>315</v>
      </c>
      <c r="H127" t="s">
        <v>316</v>
      </c>
      <c r="I127" t="s">
        <v>128</v>
      </c>
      <c r="J127" t="s">
        <v>129</v>
      </c>
      <c r="K127" t="s">
        <v>130</v>
      </c>
      <c r="L127" t="s">
        <v>186</v>
      </c>
      <c r="M127" t="s">
        <v>504</v>
      </c>
      <c r="N127" t="s">
        <v>505</v>
      </c>
      <c r="O127" t="s">
        <v>506</v>
      </c>
      <c r="P127" t="s">
        <v>82</v>
      </c>
      <c r="Q127" t="s">
        <v>317</v>
      </c>
      <c r="R127" t="s">
        <v>318</v>
      </c>
      <c r="S127" t="s">
        <v>792</v>
      </c>
      <c r="T127" s="15">
        <v>46505</v>
      </c>
      <c r="U127">
        <v>541</v>
      </c>
      <c r="V127">
        <v>10.06</v>
      </c>
      <c r="W127" t="s">
        <v>70</v>
      </c>
      <c r="X127" t="s">
        <v>85</v>
      </c>
      <c r="Y127">
        <v>1</v>
      </c>
      <c r="Z127">
        <v>0</v>
      </c>
      <c r="AA127">
        <v>0</v>
      </c>
    </row>
    <row r="128" spans="1:27" x14ac:dyDescent="0.3">
      <c r="A128" t="s">
        <v>511</v>
      </c>
      <c r="B128" s="15">
        <v>45931</v>
      </c>
      <c r="C128" t="s">
        <v>73</v>
      </c>
      <c r="D128" t="s">
        <v>55</v>
      </c>
      <c r="E128" t="s">
        <v>313</v>
      </c>
      <c r="F128" t="s">
        <v>790</v>
      </c>
      <c r="G128" t="s">
        <v>315</v>
      </c>
      <c r="H128" t="s">
        <v>316</v>
      </c>
      <c r="I128" t="s">
        <v>128</v>
      </c>
      <c r="J128" t="s">
        <v>129</v>
      </c>
      <c r="K128" t="s">
        <v>130</v>
      </c>
      <c r="L128" t="s">
        <v>170</v>
      </c>
      <c r="M128" t="s">
        <v>512</v>
      </c>
      <c r="N128" t="s">
        <v>513</v>
      </c>
      <c r="O128" t="s">
        <v>514</v>
      </c>
      <c r="P128" t="s">
        <v>82</v>
      </c>
      <c r="Q128" t="s">
        <v>317</v>
      </c>
      <c r="R128" t="s">
        <v>318</v>
      </c>
      <c r="S128" t="s">
        <v>792</v>
      </c>
      <c r="T128" s="15">
        <v>46505</v>
      </c>
      <c r="U128">
        <v>541</v>
      </c>
      <c r="V128">
        <v>10.06</v>
      </c>
      <c r="W128" t="s">
        <v>70</v>
      </c>
      <c r="X128" t="s">
        <v>85</v>
      </c>
      <c r="Y128">
        <v>1</v>
      </c>
      <c r="Z128">
        <v>0</v>
      </c>
      <c r="AA128">
        <v>0</v>
      </c>
    </row>
    <row r="129" spans="1:27" x14ac:dyDescent="0.3">
      <c r="A129" t="s">
        <v>496</v>
      </c>
      <c r="B129" s="15">
        <v>45931</v>
      </c>
      <c r="C129" t="s">
        <v>497</v>
      </c>
      <c r="D129" t="s">
        <v>55</v>
      </c>
      <c r="E129" t="s">
        <v>313</v>
      </c>
      <c r="F129" t="s">
        <v>314</v>
      </c>
      <c r="G129" t="s">
        <v>315</v>
      </c>
      <c r="H129" t="s">
        <v>316</v>
      </c>
      <c r="I129" t="s">
        <v>128</v>
      </c>
      <c r="J129" t="s">
        <v>129</v>
      </c>
      <c r="K129" t="s">
        <v>130</v>
      </c>
      <c r="L129" t="s">
        <v>498</v>
      </c>
      <c r="M129" t="s">
        <v>499</v>
      </c>
      <c r="N129" t="s">
        <v>500</v>
      </c>
      <c r="O129" t="s">
        <v>501</v>
      </c>
      <c r="P129" t="s">
        <v>82</v>
      </c>
      <c r="Q129" t="s">
        <v>317</v>
      </c>
      <c r="R129" t="s">
        <v>318</v>
      </c>
      <c r="S129" t="s">
        <v>319</v>
      </c>
      <c r="T129" s="15">
        <v>46505</v>
      </c>
      <c r="U129">
        <v>541</v>
      </c>
      <c r="V129">
        <v>10.06</v>
      </c>
      <c r="W129" t="s">
        <v>70</v>
      </c>
      <c r="X129" t="s">
        <v>85</v>
      </c>
      <c r="Y129">
        <v>1</v>
      </c>
      <c r="Z129">
        <v>0</v>
      </c>
      <c r="AA129">
        <v>0</v>
      </c>
    </row>
    <row r="130" spans="1:27" x14ac:dyDescent="0.3">
      <c r="A130" t="s">
        <v>258</v>
      </c>
      <c r="B130" s="15">
        <v>45661</v>
      </c>
      <c r="C130" t="s">
        <v>54</v>
      </c>
      <c r="D130" t="s">
        <v>55</v>
      </c>
      <c r="E130" t="s">
        <v>322</v>
      </c>
      <c r="F130" t="s">
        <v>793</v>
      </c>
      <c r="G130" t="s">
        <v>324</v>
      </c>
      <c r="H130" t="s">
        <v>794</v>
      </c>
      <c r="I130" t="s">
        <v>167</v>
      </c>
      <c r="J130" t="s">
        <v>326</v>
      </c>
      <c r="K130" t="s">
        <v>327</v>
      </c>
      <c r="L130" t="s">
        <v>186</v>
      </c>
      <c r="M130" t="s">
        <v>265</v>
      </c>
      <c r="N130" t="s">
        <v>266</v>
      </c>
      <c r="O130" t="s">
        <v>267</v>
      </c>
      <c r="P130" t="s">
        <v>167</v>
      </c>
      <c r="Q130" t="s">
        <v>394</v>
      </c>
      <c r="R130" t="s">
        <v>395</v>
      </c>
      <c r="S130" t="s">
        <v>795</v>
      </c>
      <c r="T130" s="15">
        <v>46558</v>
      </c>
      <c r="U130">
        <v>528</v>
      </c>
      <c r="V130">
        <v>14.5</v>
      </c>
      <c r="W130" t="s">
        <v>70</v>
      </c>
      <c r="X130" t="s">
        <v>193</v>
      </c>
      <c r="Y130">
        <v>0</v>
      </c>
      <c r="Z130">
        <v>0</v>
      </c>
      <c r="AA130">
        <v>1</v>
      </c>
    </row>
    <row r="131" spans="1:27" x14ac:dyDescent="0.3">
      <c r="A131" t="s">
        <v>796</v>
      </c>
      <c r="B131" s="15">
        <v>45815</v>
      </c>
      <c r="C131" t="s">
        <v>93</v>
      </c>
      <c r="D131" t="s">
        <v>55</v>
      </c>
      <c r="E131" t="s">
        <v>797</v>
      </c>
      <c r="F131" t="s">
        <v>798</v>
      </c>
      <c r="G131" t="s">
        <v>799</v>
      </c>
      <c r="H131" t="s">
        <v>800</v>
      </c>
      <c r="I131" t="s">
        <v>167</v>
      </c>
      <c r="J131" t="s">
        <v>630</v>
      </c>
      <c r="K131" t="s">
        <v>631</v>
      </c>
      <c r="L131" t="s">
        <v>63</v>
      </c>
      <c r="M131" t="s">
        <v>801</v>
      </c>
      <c r="N131" t="s">
        <v>802</v>
      </c>
      <c r="O131" t="s">
        <v>803</v>
      </c>
      <c r="P131" t="s">
        <v>167</v>
      </c>
      <c r="Q131" t="s">
        <v>804</v>
      </c>
      <c r="R131" t="s">
        <v>805</v>
      </c>
      <c r="S131" t="s">
        <v>806</v>
      </c>
      <c r="T131" s="15">
        <v>46201</v>
      </c>
      <c r="U131">
        <v>526</v>
      </c>
      <c r="V131">
        <v>26.24</v>
      </c>
      <c r="W131" t="s">
        <v>70</v>
      </c>
      <c r="X131" t="s">
        <v>177</v>
      </c>
      <c r="Y131">
        <v>1</v>
      </c>
      <c r="Z131">
        <v>0</v>
      </c>
      <c r="AA131">
        <v>0</v>
      </c>
    </row>
    <row r="132" spans="1:27" x14ac:dyDescent="0.3">
      <c r="A132" t="s">
        <v>781</v>
      </c>
      <c r="B132" s="15">
        <v>45842</v>
      </c>
      <c r="C132" t="s">
        <v>179</v>
      </c>
      <c r="D132" t="s">
        <v>55</v>
      </c>
      <c r="E132" t="s">
        <v>109</v>
      </c>
      <c r="F132" t="s">
        <v>807</v>
      </c>
      <c r="G132" t="s">
        <v>111</v>
      </c>
      <c r="H132" t="s">
        <v>808</v>
      </c>
      <c r="I132" t="s">
        <v>113</v>
      </c>
      <c r="J132" t="s">
        <v>114</v>
      </c>
      <c r="K132" t="s">
        <v>115</v>
      </c>
      <c r="L132" t="s">
        <v>100</v>
      </c>
      <c r="M132" t="s">
        <v>101</v>
      </c>
      <c r="N132" t="s">
        <v>102</v>
      </c>
      <c r="O132" t="s">
        <v>788</v>
      </c>
      <c r="P132" t="s">
        <v>119</v>
      </c>
      <c r="Q132" t="s">
        <v>151</v>
      </c>
      <c r="R132" t="s">
        <v>152</v>
      </c>
      <c r="S132" t="s">
        <v>396</v>
      </c>
      <c r="T132" s="15">
        <v>47358</v>
      </c>
      <c r="U132">
        <v>520</v>
      </c>
      <c r="V132">
        <v>5</v>
      </c>
      <c r="W132" t="s">
        <v>70</v>
      </c>
      <c r="X132" t="s">
        <v>107</v>
      </c>
      <c r="Y132">
        <v>1</v>
      </c>
      <c r="Z132">
        <v>0</v>
      </c>
      <c r="AA132">
        <v>0</v>
      </c>
    </row>
    <row r="133" spans="1:27" x14ac:dyDescent="0.3">
      <c r="A133" t="s">
        <v>355</v>
      </c>
      <c r="B133" s="15">
        <v>45842</v>
      </c>
      <c r="C133" t="s">
        <v>93</v>
      </c>
      <c r="D133" t="s">
        <v>55</v>
      </c>
      <c r="E133" t="s">
        <v>809</v>
      </c>
      <c r="F133" t="s">
        <v>810</v>
      </c>
      <c r="G133" t="s">
        <v>811</v>
      </c>
      <c r="H133" t="s">
        <v>812</v>
      </c>
      <c r="I133" t="s">
        <v>813</v>
      </c>
      <c r="J133" t="s">
        <v>814</v>
      </c>
      <c r="K133" t="s">
        <v>815</v>
      </c>
      <c r="L133" t="s">
        <v>100</v>
      </c>
      <c r="M133" t="s">
        <v>101</v>
      </c>
      <c r="N133" t="s">
        <v>102</v>
      </c>
      <c r="O133" t="s">
        <v>360</v>
      </c>
      <c r="P133" t="s">
        <v>82</v>
      </c>
      <c r="Q133" t="s">
        <v>352</v>
      </c>
      <c r="R133" t="s">
        <v>353</v>
      </c>
      <c r="S133" t="s">
        <v>816</v>
      </c>
      <c r="T133" s="15">
        <v>46262</v>
      </c>
      <c r="U133">
        <v>517</v>
      </c>
      <c r="V133">
        <v>4.8600000000000003</v>
      </c>
      <c r="W133" t="s">
        <v>70</v>
      </c>
      <c r="X133" t="s">
        <v>107</v>
      </c>
      <c r="Y133">
        <v>1</v>
      </c>
      <c r="Z133">
        <v>0</v>
      </c>
      <c r="AA133">
        <v>0</v>
      </c>
    </row>
    <row r="134" spans="1:27" x14ac:dyDescent="0.3">
      <c r="A134" t="s">
        <v>708</v>
      </c>
      <c r="B134" s="15">
        <v>45815</v>
      </c>
      <c r="C134" t="s">
        <v>497</v>
      </c>
      <c r="D134" t="s">
        <v>55</v>
      </c>
      <c r="E134" t="s">
        <v>817</v>
      </c>
      <c r="F134" t="s">
        <v>818</v>
      </c>
      <c r="G134" t="s">
        <v>819</v>
      </c>
      <c r="H134" t="s">
        <v>820</v>
      </c>
      <c r="I134" t="s">
        <v>128</v>
      </c>
      <c r="J134" t="s">
        <v>129</v>
      </c>
      <c r="K134" t="s">
        <v>130</v>
      </c>
      <c r="L134" t="s">
        <v>186</v>
      </c>
      <c r="M134" t="s">
        <v>713</v>
      </c>
      <c r="N134" t="s">
        <v>714</v>
      </c>
      <c r="O134" t="s">
        <v>715</v>
      </c>
      <c r="P134" t="s">
        <v>82</v>
      </c>
      <c r="Q134" t="s">
        <v>317</v>
      </c>
      <c r="R134" t="s">
        <v>318</v>
      </c>
      <c r="S134" t="s">
        <v>821</v>
      </c>
      <c r="T134" s="15">
        <v>46354</v>
      </c>
      <c r="U134">
        <v>510</v>
      </c>
      <c r="V134">
        <v>10.06</v>
      </c>
      <c r="W134" t="s">
        <v>70</v>
      </c>
      <c r="X134" t="s">
        <v>177</v>
      </c>
      <c r="Y134">
        <v>1</v>
      </c>
      <c r="Z134">
        <v>0</v>
      </c>
      <c r="AA134">
        <v>0</v>
      </c>
    </row>
    <row r="135" spans="1:27" x14ac:dyDescent="0.3">
      <c r="A135" t="s">
        <v>496</v>
      </c>
      <c r="B135" s="15">
        <v>45931</v>
      </c>
      <c r="C135" t="s">
        <v>497</v>
      </c>
      <c r="D135" t="s">
        <v>55</v>
      </c>
      <c r="E135" t="s">
        <v>194</v>
      </c>
      <c r="F135" t="s">
        <v>195</v>
      </c>
      <c r="G135" t="s">
        <v>196</v>
      </c>
      <c r="H135" t="s">
        <v>197</v>
      </c>
      <c r="I135" t="s">
        <v>138</v>
      </c>
      <c r="J135" t="s">
        <v>139</v>
      </c>
      <c r="K135" t="s">
        <v>140</v>
      </c>
      <c r="L135" t="s">
        <v>498</v>
      </c>
      <c r="M135" t="s">
        <v>499</v>
      </c>
      <c r="N135" t="s">
        <v>500</v>
      </c>
      <c r="O135" t="s">
        <v>501</v>
      </c>
      <c r="P135" t="s">
        <v>82</v>
      </c>
      <c r="Q135" t="s">
        <v>198</v>
      </c>
      <c r="R135" t="s">
        <v>199</v>
      </c>
      <c r="S135" t="s">
        <v>200</v>
      </c>
      <c r="T135" s="15">
        <v>46566</v>
      </c>
      <c r="U135">
        <v>507</v>
      </c>
      <c r="V135">
        <v>7.03</v>
      </c>
      <c r="W135" t="s">
        <v>70</v>
      </c>
      <c r="X135" t="s">
        <v>85</v>
      </c>
      <c r="Y135">
        <v>1</v>
      </c>
      <c r="Z135">
        <v>0</v>
      </c>
      <c r="AA135">
        <v>0</v>
      </c>
    </row>
    <row r="136" spans="1:27" x14ac:dyDescent="0.3">
      <c r="A136" t="s">
        <v>507</v>
      </c>
      <c r="B136" s="15">
        <v>45931</v>
      </c>
      <c r="C136" t="s">
        <v>497</v>
      </c>
      <c r="D136" t="s">
        <v>55</v>
      </c>
      <c r="E136" t="s">
        <v>194</v>
      </c>
      <c r="F136" t="s">
        <v>195</v>
      </c>
      <c r="G136" t="s">
        <v>196</v>
      </c>
      <c r="H136" t="s">
        <v>197</v>
      </c>
      <c r="I136" t="s">
        <v>138</v>
      </c>
      <c r="J136" t="s">
        <v>139</v>
      </c>
      <c r="K136" t="s">
        <v>140</v>
      </c>
      <c r="L136" t="s">
        <v>170</v>
      </c>
      <c r="M136" t="s">
        <v>508</v>
      </c>
      <c r="N136" t="s">
        <v>509</v>
      </c>
      <c r="O136" t="s">
        <v>510</v>
      </c>
      <c r="P136" t="s">
        <v>82</v>
      </c>
      <c r="Q136" t="s">
        <v>198</v>
      </c>
      <c r="R136" t="s">
        <v>199</v>
      </c>
      <c r="S136" t="s">
        <v>200</v>
      </c>
      <c r="T136" s="15">
        <v>46566</v>
      </c>
      <c r="U136">
        <v>507</v>
      </c>
      <c r="V136">
        <v>7.03</v>
      </c>
      <c r="W136" t="s">
        <v>70</v>
      </c>
      <c r="X136" t="s">
        <v>85</v>
      </c>
      <c r="Y136">
        <v>1</v>
      </c>
      <c r="Z136">
        <v>0</v>
      </c>
      <c r="AA136">
        <v>0</v>
      </c>
    </row>
    <row r="137" spans="1:27" x14ac:dyDescent="0.3">
      <c r="A137" t="s">
        <v>502</v>
      </c>
      <c r="B137" s="15">
        <v>45931</v>
      </c>
      <c r="C137" t="s">
        <v>503</v>
      </c>
      <c r="D137" t="s">
        <v>55</v>
      </c>
      <c r="E137" t="s">
        <v>194</v>
      </c>
      <c r="F137" t="s">
        <v>195</v>
      </c>
      <c r="G137" t="s">
        <v>196</v>
      </c>
      <c r="H137" t="s">
        <v>197</v>
      </c>
      <c r="I137" t="s">
        <v>138</v>
      </c>
      <c r="J137" t="s">
        <v>139</v>
      </c>
      <c r="K137" t="s">
        <v>140</v>
      </c>
      <c r="L137" t="s">
        <v>186</v>
      </c>
      <c r="M137" t="s">
        <v>504</v>
      </c>
      <c r="N137" t="s">
        <v>505</v>
      </c>
      <c r="O137" t="s">
        <v>506</v>
      </c>
      <c r="P137" t="s">
        <v>82</v>
      </c>
      <c r="Q137" t="s">
        <v>198</v>
      </c>
      <c r="R137" t="s">
        <v>199</v>
      </c>
      <c r="S137" t="s">
        <v>200</v>
      </c>
      <c r="T137" s="15">
        <v>46566</v>
      </c>
      <c r="U137">
        <v>507</v>
      </c>
      <c r="V137">
        <v>7.03</v>
      </c>
      <c r="W137" t="s">
        <v>70</v>
      </c>
      <c r="X137" t="s">
        <v>85</v>
      </c>
      <c r="Y137">
        <v>1</v>
      </c>
      <c r="Z137">
        <v>0</v>
      </c>
      <c r="AA137">
        <v>1</v>
      </c>
    </row>
    <row r="138" spans="1:27" x14ac:dyDescent="0.3">
      <c r="A138" t="s">
        <v>511</v>
      </c>
      <c r="B138" s="15">
        <v>45931</v>
      </c>
      <c r="C138" t="s">
        <v>73</v>
      </c>
      <c r="D138" t="s">
        <v>55</v>
      </c>
      <c r="E138" t="s">
        <v>194</v>
      </c>
      <c r="F138" t="s">
        <v>195</v>
      </c>
      <c r="G138" t="s">
        <v>196</v>
      </c>
      <c r="H138" t="s">
        <v>197</v>
      </c>
      <c r="I138" t="s">
        <v>138</v>
      </c>
      <c r="J138" t="s">
        <v>139</v>
      </c>
      <c r="K138" t="s">
        <v>140</v>
      </c>
      <c r="L138" t="s">
        <v>170</v>
      </c>
      <c r="M138" t="s">
        <v>512</v>
      </c>
      <c r="N138" t="s">
        <v>513</v>
      </c>
      <c r="O138" t="s">
        <v>514</v>
      </c>
      <c r="P138" t="s">
        <v>82</v>
      </c>
      <c r="Q138" t="s">
        <v>198</v>
      </c>
      <c r="R138" t="s">
        <v>199</v>
      </c>
      <c r="S138" t="s">
        <v>200</v>
      </c>
      <c r="T138" s="15">
        <v>46566</v>
      </c>
      <c r="U138">
        <v>507</v>
      </c>
      <c r="V138">
        <v>7.03</v>
      </c>
      <c r="W138" t="s">
        <v>70</v>
      </c>
      <c r="X138" t="s">
        <v>85</v>
      </c>
      <c r="Y138">
        <v>1</v>
      </c>
      <c r="Z138">
        <v>0</v>
      </c>
      <c r="AA138">
        <v>0</v>
      </c>
    </row>
    <row r="139" spans="1:27" x14ac:dyDescent="0.3">
      <c r="A139" t="s">
        <v>717</v>
      </c>
      <c r="B139" s="15">
        <v>45931</v>
      </c>
      <c r="C139" t="s">
        <v>272</v>
      </c>
      <c r="D139" t="s">
        <v>55</v>
      </c>
      <c r="E139" t="s">
        <v>194</v>
      </c>
      <c r="F139" t="s">
        <v>195</v>
      </c>
      <c r="G139" t="s">
        <v>196</v>
      </c>
      <c r="H139" t="s">
        <v>197</v>
      </c>
      <c r="I139" t="s">
        <v>138</v>
      </c>
      <c r="J139" t="s">
        <v>139</v>
      </c>
      <c r="K139" t="s">
        <v>140</v>
      </c>
      <c r="L139" t="s">
        <v>718</v>
      </c>
      <c r="M139" t="s">
        <v>719</v>
      </c>
      <c r="N139" t="s">
        <v>720</v>
      </c>
      <c r="O139" t="s">
        <v>721</v>
      </c>
      <c r="P139" t="s">
        <v>82</v>
      </c>
      <c r="Q139" t="s">
        <v>198</v>
      </c>
      <c r="R139" t="s">
        <v>199</v>
      </c>
      <c r="S139" t="s">
        <v>200</v>
      </c>
      <c r="T139" s="15">
        <v>46566</v>
      </c>
      <c r="U139">
        <v>507</v>
      </c>
      <c r="V139">
        <v>7.03</v>
      </c>
      <c r="W139" t="s">
        <v>70</v>
      </c>
      <c r="X139" t="s">
        <v>85</v>
      </c>
      <c r="Y139">
        <v>1</v>
      </c>
      <c r="Z139">
        <v>0</v>
      </c>
      <c r="AA139">
        <v>0</v>
      </c>
    </row>
    <row r="140" spans="1:27" x14ac:dyDescent="0.3">
      <c r="A140" t="s">
        <v>238</v>
      </c>
      <c r="B140" s="15">
        <v>45931</v>
      </c>
      <c r="C140" t="s">
        <v>179</v>
      </c>
      <c r="D140" t="s">
        <v>55</v>
      </c>
      <c r="E140" t="s">
        <v>124</v>
      </c>
      <c r="F140" t="s">
        <v>125</v>
      </c>
      <c r="G140" t="s">
        <v>126</v>
      </c>
      <c r="H140" t="s">
        <v>127</v>
      </c>
      <c r="I140" t="s">
        <v>128</v>
      </c>
      <c r="J140" t="s">
        <v>129</v>
      </c>
      <c r="K140" t="s">
        <v>130</v>
      </c>
      <c r="L140" t="s">
        <v>186</v>
      </c>
      <c r="M140" t="s">
        <v>239</v>
      </c>
      <c r="N140" t="s">
        <v>240</v>
      </c>
      <c r="O140" t="s">
        <v>241</v>
      </c>
      <c r="P140" t="s">
        <v>82</v>
      </c>
      <c r="Q140" t="s">
        <v>131</v>
      </c>
      <c r="R140" t="s">
        <v>132</v>
      </c>
      <c r="S140" t="s">
        <v>133</v>
      </c>
      <c r="T140" s="15">
        <v>46505</v>
      </c>
      <c r="U140">
        <v>506</v>
      </c>
      <c r="V140">
        <v>10.66</v>
      </c>
      <c r="W140" t="s">
        <v>70</v>
      </c>
      <c r="X140" t="s">
        <v>85</v>
      </c>
      <c r="Y140">
        <v>1</v>
      </c>
      <c r="Z140">
        <v>0</v>
      </c>
      <c r="AA140">
        <v>0</v>
      </c>
    </row>
    <row r="141" spans="1:27" x14ac:dyDescent="0.3">
      <c r="A141" t="s">
        <v>717</v>
      </c>
      <c r="B141" s="15">
        <v>45931</v>
      </c>
      <c r="C141" t="s">
        <v>272</v>
      </c>
      <c r="D141" t="s">
        <v>55</v>
      </c>
      <c r="E141" t="s">
        <v>822</v>
      </c>
      <c r="F141" t="s">
        <v>823</v>
      </c>
      <c r="G141" t="s">
        <v>824</v>
      </c>
      <c r="H141" t="s">
        <v>825</v>
      </c>
      <c r="I141" t="s">
        <v>826</v>
      </c>
      <c r="J141" t="s">
        <v>129</v>
      </c>
      <c r="K141" t="s">
        <v>130</v>
      </c>
      <c r="L141" t="s">
        <v>718</v>
      </c>
      <c r="M141" t="s">
        <v>719</v>
      </c>
      <c r="N141" t="s">
        <v>720</v>
      </c>
      <c r="O141" t="s">
        <v>721</v>
      </c>
      <c r="P141" t="s">
        <v>82</v>
      </c>
      <c r="Q141" t="s">
        <v>83</v>
      </c>
      <c r="R141" t="s">
        <v>92</v>
      </c>
      <c r="S141" t="s">
        <v>827</v>
      </c>
      <c r="T141" s="15">
        <v>46415</v>
      </c>
      <c r="U141">
        <v>505</v>
      </c>
      <c r="V141">
        <v>6.98</v>
      </c>
      <c r="W141" t="s">
        <v>70</v>
      </c>
      <c r="X141" t="s">
        <v>85</v>
      </c>
      <c r="Y141">
        <v>0</v>
      </c>
      <c r="Z141">
        <v>0</v>
      </c>
      <c r="AA141">
        <v>0</v>
      </c>
    </row>
    <row r="142" spans="1:27" x14ac:dyDescent="0.3">
      <c r="A142" t="s">
        <v>828</v>
      </c>
      <c r="B142" s="15">
        <v>45815</v>
      </c>
      <c r="C142" t="s">
        <v>272</v>
      </c>
      <c r="D142" t="s">
        <v>55</v>
      </c>
      <c r="E142" t="s">
        <v>829</v>
      </c>
      <c r="F142" t="s">
        <v>830</v>
      </c>
      <c r="G142" t="s">
        <v>831</v>
      </c>
      <c r="H142" t="s">
        <v>832</v>
      </c>
      <c r="I142" t="s">
        <v>167</v>
      </c>
      <c r="J142" t="s">
        <v>833</v>
      </c>
      <c r="K142" t="s">
        <v>834</v>
      </c>
      <c r="L142" t="s">
        <v>186</v>
      </c>
      <c r="M142" t="s">
        <v>239</v>
      </c>
      <c r="N142" t="s">
        <v>240</v>
      </c>
      <c r="O142" t="s">
        <v>835</v>
      </c>
      <c r="P142" t="s">
        <v>167</v>
      </c>
      <c r="Q142" t="s">
        <v>836</v>
      </c>
      <c r="R142" t="s">
        <v>837</v>
      </c>
      <c r="S142" t="s">
        <v>838</v>
      </c>
      <c r="T142" s="15">
        <v>46719</v>
      </c>
      <c r="U142">
        <v>500</v>
      </c>
      <c r="V142">
        <v>15.26</v>
      </c>
      <c r="W142" t="s">
        <v>70</v>
      </c>
      <c r="X142" t="s">
        <v>177</v>
      </c>
      <c r="Y142">
        <v>1</v>
      </c>
      <c r="Z142">
        <v>1</v>
      </c>
      <c r="AA142">
        <v>0</v>
      </c>
    </row>
    <row r="143" spans="1:27" x14ac:dyDescent="0.3">
      <c r="A143" t="s">
        <v>162</v>
      </c>
      <c r="B143" s="15">
        <v>45815</v>
      </c>
      <c r="C143" t="s">
        <v>95</v>
      </c>
      <c r="D143" t="s">
        <v>55</v>
      </c>
      <c r="E143" t="s">
        <v>322</v>
      </c>
      <c r="F143" t="s">
        <v>839</v>
      </c>
      <c r="G143" t="s">
        <v>324</v>
      </c>
      <c r="H143" t="s">
        <v>840</v>
      </c>
      <c r="I143" t="s">
        <v>167</v>
      </c>
      <c r="J143" t="s">
        <v>326</v>
      </c>
      <c r="K143" t="s">
        <v>327</v>
      </c>
      <c r="L143" t="s">
        <v>170</v>
      </c>
      <c r="M143" t="s">
        <v>171</v>
      </c>
      <c r="N143" t="s">
        <v>172</v>
      </c>
      <c r="O143" t="s">
        <v>173</v>
      </c>
      <c r="P143" t="s">
        <v>167</v>
      </c>
      <c r="Q143" t="s">
        <v>430</v>
      </c>
      <c r="R143" t="s">
        <v>431</v>
      </c>
      <c r="S143" t="s">
        <v>841</v>
      </c>
      <c r="T143" s="15">
        <v>47450</v>
      </c>
      <c r="U143">
        <v>500</v>
      </c>
      <c r="V143">
        <v>26.1</v>
      </c>
      <c r="W143" t="s">
        <v>70</v>
      </c>
      <c r="X143" t="s">
        <v>177</v>
      </c>
      <c r="Y143">
        <v>1</v>
      </c>
      <c r="Z143">
        <v>0</v>
      </c>
      <c r="AA143">
        <v>0</v>
      </c>
    </row>
    <row r="144" spans="1:27" x14ac:dyDescent="0.3">
      <c r="A144" t="s">
        <v>142</v>
      </c>
      <c r="B144" s="15">
        <v>45931</v>
      </c>
      <c r="C144" t="s">
        <v>93</v>
      </c>
      <c r="D144" t="s">
        <v>55</v>
      </c>
      <c r="E144" t="s">
        <v>842</v>
      </c>
      <c r="F144" t="s">
        <v>843</v>
      </c>
      <c r="G144" t="s">
        <v>844</v>
      </c>
      <c r="H144" t="s">
        <v>845</v>
      </c>
      <c r="I144" t="s">
        <v>846</v>
      </c>
      <c r="J144" t="s">
        <v>139</v>
      </c>
      <c r="K144" t="s">
        <v>140</v>
      </c>
      <c r="L144" t="s">
        <v>87</v>
      </c>
      <c r="M144" t="s">
        <v>88</v>
      </c>
      <c r="N144" t="s">
        <v>89</v>
      </c>
      <c r="O144" t="s">
        <v>150</v>
      </c>
      <c r="P144" t="s">
        <v>82</v>
      </c>
      <c r="Q144" t="s">
        <v>847</v>
      </c>
      <c r="R144" t="s">
        <v>848</v>
      </c>
      <c r="S144" t="s">
        <v>849</v>
      </c>
      <c r="T144" s="15">
        <v>47480</v>
      </c>
      <c r="U144">
        <v>500</v>
      </c>
      <c r="V144">
        <v>7.82</v>
      </c>
      <c r="W144" t="s">
        <v>70</v>
      </c>
      <c r="X144" t="s">
        <v>85</v>
      </c>
      <c r="Y144">
        <v>1</v>
      </c>
      <c r="Z144">
        <v>0</v>
      </c>
      <c r="AA144">
        <v>0</v>
      </c>
    </row>
    <row r="145" spans="1:27" x14ac:dyDescent="0.3">
      <c r="A145" t="s">
        <v>72</v>
      </c>
      <c r="B145" s="15">
        <v>45931</v>
      </c>
      <c r="C145" t="s">
        <v>73</v>
      </c>
      <c r="D145" t="s">
        <v>55</v>
      </c>
      <c r="E145" t="s">
        <v>850</v>
      </c>
      <c r="F145" t="s">
        <v>851</v>
      </c>
      <c r="G145" t="s">
        <v>852</v>
      </c>
      <c r="H145" t="s">
        <v>853</v>
      </c>
      <c r="I145" t="s">
        <v>854</v>
      </c>
      <c r="J145" t="s">
        <v>79</v>
      </c>
      <c r="K145" t="s">
        <v>80</v>
      </c>
      <c r="L145" t="s">
        <v>63</v>
      </c>
      <c r="M145" t="s">
        <v>64</v>
      </c>
      <c r="N145" t="s">
        <v>65</v>
      </c>
      <c r="O145" t="s">
        <v>81</v>
      </c>
      <c r="P145" t="s">
        <v>82</v>
      </c>
      <c r="Q145" t="s">
        <v>855</v>
      </c>
      <c r="R145" t="s">
        <v>856</v>
      </c>
      <c r="S145" t="s">
        <v>857</v>
      </c>
      <c r="T145" s="15">
        <v>46446</v>
      </c>
      <c r="U145">
        <v>492</v>
      </c>
      <c r="V145">
        <v>13.4</v>
      </c>
      <c r="W145" t="s">
        <v>70</v>
      </c>
      <c r="X145" t="s">
        <v>85</v>
      </c>
      <c r="Y145">
        <v>1</v>
      </c>
      <c r="Z145">
        <v>0</v>
      </c>
      <c r="AA145">
        <v>0</v>
      </c>
    </row>
    <row r="146" spans="1:27" x14ac:dyDescent="0.3">
      <c r="A146" t="s">
        <v>291</v>
      </c>
      <c r="B146" s="15">
        <v>45752</v>
      </c>
      <c r="C146" t="s">
        <v>54</v>
      </c>
      <c r="D146" t="s">
        <v>55</v>
      </c>
      <c r="E146" t="s">
        <v>322</v>
      </c>
      <c r="F146" t="s">
        <v>839</v>
      </c>
      <c r="G146" t="s">
        <v>324</v>
      </c>
      <c r="H146" t="s">
        <v>840</v>
      </c>
      <c r="I146" t="s">
        <v>167</v>
      </c>
      <c r="J146" t="s">
        <v>326</v>
      </c>
      <c r="K146" t="s">
        <v>327</v>
      </c>
      <c r="L146" t="s">
        <v>63</v>
      </c>
      <c r="M146" t="s">
        <v>116</v>
      </c>
      <c r="N146" t="s">
        <v>117</v>
      </c>
      <c r="O146" t="s">
        <v>292</v>
      </c>
      <c r="P146" t="s">
        <v>167</v>
      </c>
      <c r="Q146" t="s">
        <v>430</v>
      </c>
      <c r="R146" t="s">
        <v>431</v>
      </c>
      <c r="S146" t="s">
        <v>841</v>
      </c>
      <c r="T146" s="15">
        <v>47450</v>
      </c>
      <c r="U146">
        <v>490</v>
      </c>
      <c r="V146">
        <v>26.1</v>
      </c>
      <c r="W146" t="s">
        <v>70</v>
      </c>
      <c r="X146" t="s">
        <v>123</v>
      </c>
      <c r="Y146">
        <v>1</v>
      </c>
      <c r="Z146">
        <v>0</v>
      </c>
      <c r="AA146">
        <v>0</v>
      </c>
    </row>
    <row r="147" spans="1:27" x14ac:dyDescent="0.3">
      <c r="A147" t="s">
        <v>355</v>
      </c>
      <c r="B147" s="15">
        <v>45842</v>
      </c>
      <c r="C147" t="s">
        <v>93</v>
      </c>
      <c r="D147" t="s">
        <v>55</v>
      </c>
      <c r="E147" t="s">
        <v>858</v>
      </c>
      <c r="F147" t="s">
        <v>859</v>
      </c>
      <c r="G147" t="s">
        <v>860</v>
      </c>
      <c r="H147" t="s">
        <v>861</v>
      </c>
      <c r="I147" t="s">
        <v>254</v>
      </c>
      <c r="J147" t="s">
        <v>139</v>
      </c>
      <c r="K147" t="s">
        <v>140</v>
      </c>
      <c r="L147" t="s">
        <v>100</v>
      </c>
      <c r="M147" t="s">
        <v>101</v>
      </c>
      <c r="N147" t="s">
        <v>102</v>
      </c>
      <c r="O147" t="s">
        <v>360</v>
      </c>
      <c r="P147" t="s">
        <v>82</v>
      </c>
      <c r="Q147" t="s">
        <v>235</v>
      </c>
      <c r="R147" t="s">
        <v>236</v>
      </c>
      <c r="S147" t="s">
        <v>862</v>
      </c>
      <c r="T147" s="15">
        <v>46474</v>
      </c>
      <c r="U147">
        <v>485</v>
      </c>
      <c r="V147">
        <v>8.4600000000000009</v>
      </c>
      <c r="W147" t="s">
        <v>70</v>
      </c>
      <c r="X147" t="s">
        <v>107</v>
      </c>
      <c r="Y147">
        <v>0</v>
      </c>
      <c r="Z147">
        <v>0</v>
      </c>
      <c r="AA147">
        <v>0</v>
      </c>
    </row>
    <row r="148" spans="1:27" x14ac:dyDescent="0.3">
      <c r="A148" t="s">
        <v>863</v>
      </c>
      <c r="B148" s="15">
        <v>45752</v>
      </c>
      <c r="C148" t="s">
        <v>497</v>
      </c>
      <c r="D148" t="s">
        <v>55</v>
      </c>
      <c r="E148" t="s">
        <v>626</v>
      </c>
      <c r="F148" t="s">
        <v>627</v>
      </c>
      <c r="G148" t="s">
        <v>628</v>
      </c>
      <c r="H148" t="s">
        <v>629</v>
      </c>
      <c r="I148" t="s">
        <v>167</v>
      </c>
      <c r="J148" t="s">
        <v>630</v>
      </c>
      <c r="K148" t="s">
        <v>631</v>
      </c>
      <c r="L148" t="s">
        <v>87</v>
      </c>
      <c r="M148" t="s">
        <v>864</v>
      </c>
      <c r="N148" t="s">
        <v>865</v>
      </c>
      <c r="O148" t="s">
        <v>866</v>
      </c>
      <c r="P148" t="s">
        <v>167</v>
      </c>
      <c r="Q148" t="s">
        <v>635</v>
      </c>
      <c r="R148" t="s">
        <v>636</v>
      </c>
      <c r="S148" t="s">
        <v>637</v>
      </c>
      <c r="T148" s="15">
        <v>46353</v>
      </c>
      <c r="U148">
        <v>482</v>
      </c>
      <c r="V148">
        <v>8.06</v>
      </c>
      <c r="W148" t="s">
        <v>70</v>
      </c>
      <c r="X148" t="s">
        <v>123</v>
      </c>
      <c r="Y148">
        <v>1</v>
      </c>
      <c r="Z148">
        <v>0</v>
      </c>
      <c r="AA148">
        <v>0</v>
      </c>
    </row>
    <row r="149" spans="1:27" x14ac:dyDescent="0.3">
      <c r="A149" t="s">
        <v>867</v>
      </c>
      <c r="B149" s="15">
        <v>45752</v>
      </c>
      <c r="C149" t="s">
        <v>503</v>
      </c>
      <c r="D149" t="s">
        <v>55</v>
      </c>
      <c r="E149" t="s">
        <v>868</v>
      </c>
      <c r="F149" t="s">
        <v>869</v>
      </c>
      <c r="G149" t="s">
        <v>870</v>
      </c>
      <c r="H149" t="s">
        <v>871</v>
      </c>
      <c r="I149" t="s">
        <v>167</v>
      </c>
      <c r="J149" t="s">
        <v>872</v>
      </c>
      <c r="K149" t="s">
        <v>873</v>
      </c>
      <c r="L149" t="s">
        <v>87</v>
      </c>
      <c r="M149" t="s">
        <v>874</v>
      </c>
      <c r="N149" t="s">
        <v>875</v>
      </c>
      <c r="O149" t="s">
        <v>876</v>
      </c>
      <c r="P149" t="s">
        <v>167</v>
      </c>
      <c r="Q149" t="s">
        <v>656</v>
      </c>
      <c r="R149" t="s">
        <v>657</v>
      </c>
      <c r="S149" t="s">
        <v>877</v>
      </c>
      <c r="T149" s="15">
        <v>47389</v>
      </c>
      <c r="U149">
        <v>482</v>
      </c>
      <c r="V149">
        <v>6</v>
      </c>
      <c r="W149" t="s">
        <v>70</v>
      </c>
      <c r="X149" t="s">
        <v>123</v>
      </c>
      <c r="Y149">
        <v>1</v>
      </c>
      <c r="Z149">
        <v>0</v>
      </c>
      <c r="AA149">
        <v>0</v>
      </c>
    </row>
    <row r="150" spans="1:27" x14ac:dyDescent="0.3">
      <c r="A150" t="s">
        <v>878</v>
      </c>
      <c r="B150" s="15">
        <v>45752</v>
      </c>
      <c r="C150" t="s">
        <v>497</v>
      </c>
      <c r="D150" t="s">
        <v>55</v>
      </c>
      <c r="E150" t="s">
        <v>639</v>
      </c>
      <c r="F150" t="s">
        <v>640</v>
      </c>
      <c r="G150" t="s">
        <v>641</v>
      </c>
      <c r="H150" t="s">
        <v>642</v>
      </c>
      <c r="I150" t="s">
        <v>643</v>
      </c>
      <c r="J150" t="s">
        <v>644</v>
      </c>
      <c r="K150" t="s">
        <v>645</v>
      </c>
      <c r="L150" t="s">
        <v>87</v>
      </c>
      <c r="M150" t="s">
        <v>864</v>
      </c>
      <c r="N150" t="s">
        <v>865</v>
      </c>
      <c r="O150" t="s">
        <v>879</v>
      </c>
      <c r="P150" t="s">
        <v>82</v>
      </c>
      <c r="Q150" t="s">
        <v>647</v>
      </c>
      <c r="R150" t="s">
        <v>648</v>
      </c>
      <c r="S150" t="s">
        <v>649</v>
      </c>
      <c r="T150" s="15">
        <v>46121</v>
      </c>
      <c r="U150">
        <v>482</v>
      </c>
      <c r="V150">
        <v>2.6</v>
      </c>
      <c r="W150" t="s">
        <v>70</v>
      </c>
      <c r="X150" t="s">
        <v>123</v>
      </c>
      <c r="Y150">
        <v>1</v>
      </c>
      <c r="Z150">
        <v>0</v>
      </c>
      <c r="AA150">
        <v>0</v>
      </c>
    </row>
    <row r="151" spans="1:27" x14ac:dyDescent="0.3">
      <c r="A151" t="s">
        <v>880</v>
      </c>
      <c r="B151" s="15">
        <v>45661</v>
      </c>
      <c r="C151" t="s">
        <v>497</v>
      </c>
      <c r="D151" t="s">
        <v>55</v>
      </c>
      <c r="E151" t="s">
        <v>881</v>
      </c>
      <c r="F151" t="s">
        <v>882</v>
      </c>
      <c r="G151" t="s">
        <v>883</v>
      </c>
      <c r="H151" t="s">
        <v>884</v>
      </c>
      <c r="I151" t="s">
        <v>885</v>
      </c>
      <c r="J151" t="s">
        <v>886</v>
      </c>
      <c r="K151" t="s">
        <v>887</v>
      </c>
      <c r="L151" t="s">
        <v>186</v>
      </c>
      <c r="M151" t="s">
        <v>653</v>
      </c>
      <c r="N151" t="s">
        <v>654</v>
      </c>
      <c r="O151" t="s">
        <v>888</v>
      </c>
      <c r="P151" t="s">
        <v>67</v>
      </c>
      <c r="Q151" t="s">
        <v>889</v>
      </c>
      <c r="R151" t="s">
        <v>890</v>
      </c>
      <c r="S151" t="s">
        <v>891</v>
      </c>
      <c r="T151" s="15">
        <v>46123</v>
      </c>
      <c r="U151">
        <v>482</v>
      </c>
      <c r="V151">
        <v>8.8000000000000007</v>
      </c>
      <c r="W151" t="s">
        <v>70</v>
      </c>
      <c r="X151" t="s">
        <v>193</v>
      </c>
      <c r="Y151">
        <v>1</v>
      </c>
      <c r="Z151">
        <v>0</v>
      </c>
      <c r="AA151">
        <v>0</v>
      </c>
    </row>
    <row r="152" spans="1:27" x14ac:dyDescent="0.3">
      <c r="A152" t="s">
        <v>892</v>
      </c>
      <c r="B152" s="15">
        <v>45842</v>
      </c>
      <c r="C152" t="s">
        <v>497</v>
      </c>
      <c r="D152" t="s">
        <v>55</v>
      </c>
      <c r="E152" t="s">
        <v>893</v>
      </c>
      <c r="F152" t="s">
        <v>894</v>
      </c>
      <c r="G152" t="s">
        <v>895</v>
      </c>
      <c r="H152" t="s">
        <v>896</v>
      </c>
      <c r="I152" t="s">
        <v>167</v>
      </c>
      <c r="J152" t="s">
        <v>897</v>
      </c>
      <c r="K152" t="s">
        <v>898</v>
      </c>
      <c r="L152" t="s">
        <v>87</v>
      </c>
      <c r="M152" t="s">
        <v>601</v>
      </c>
      <c r="N152" t="s">
        <v>602</v>
      </c>
      <c r="O152" t="s">
        <v>899</v>
      </c>
      <c r="P152" t="s">
        <v>167</v>
      </c>
      <c r="Q152" t="s">
        <v>900</v>
      </c>
      <c r="R152" t="s">
        <v>901</v>
      </c>
      <c r="S152" t="s">
        <v>902</v>
      </c>
      <c r="T152" s="15">
        <v>46354</v>
      </c>
      <c r="U152">
        <v>474</v>
      </c>
      <c r="V152">
        <v>17.2</v>
      </c>
      <c r="W152" t="s">
        <v>70</v>
      </c>
      <c r="X152" t="s">
        <v>107</v>
      </c>
      <c r="Y152">
        <v>1</v>
      </c>
      <c r="Z152">
        <v>0</v>
      </c>
      <c r="AA152">
        <v>0</v>
      </c>
    </row>
    <row r="153" spans="1:27" x14ac:dyDescent="0.3">
      <c r="A153" t="s">
        <v>496</v>
      </c>
      <c r="B153" s="15">
        <v>45931</v>
      </c>
      <c r="C153" t="s">
        <v>497</v>
      </c>
      <c r="D153" t="s">
        <v>55</v>
      </c>
      <c r="E153" t="s">
        <v>231</v>
      </c>
      <c r="F153" t="s">
        <v>232</v>
      </c>
      <c r="G153" t="s">
        <v>233</v>
      </c>
      <c r="H153" t="s">
        <v>234</v>
      </c>
      <c r="I153" t="s">
        <v>138</v>
      </c>
      <c r="J153" t="s">
        <v>139</v>
      </c>
      <c r="K153" t="s">
        <v>140</v>
      </c>
      <c r="L153" t="s">
        <v>498</v>
      </c>
      <c r="M153" t="s">
        <v>499</v>
      </c>
      <c r="N153" t="s">
        <v>500</v>
      </c>
      <c r="O153" t="s">
        <v>501</v>
      </c>
      <c r="P153" t="s">
        <v>82</v>
      </c>
      <c r="Q153" t="s">
        <v>235</v>
      </c>
      <c r="R153" t="s">
        <v>236</v>
      </c>
      <c r="S153" t="s">
        <v>237</v>
      </c>
      <c r="T153" s="15">
        <v>46535</v>
      </c>
      <c r="U153">
        <v>474</v>
      </c>
      <c r="V153">
        <v>8.4600000000000009</v>
      </c>
      <c r="W153" t="s">
        <v>70</v>
      </c>
      <c r="X153" t="s">
        <v>85</v>
      </c>
      <c r="Y153">
        <v>1</v>
      </c>
      <c r="Z153">
        <v>0</v>
      </c>
      <c r="AA153">
        <v>0</v>
      </c>
    </row>
    <row r="154" spans="1:27" x14ac:dyDescent="0.3">
      <c r="A154" t="s">
        <v>507</v>
      </c>
      <c r="B154" s="15">
        <v>45931</v>
      </c>
      <c r="C154" t="s">
        <v>497</v>
      </c>
      <c r="D154" t="s">
        <v>55</v>
      </c>
      <c r="E154" t="s">
        <v>231</v>
      </c>
      <c r="F154" t="s">
        <v>232</v>
      </c>
      <c r="G154" t="s">
        <v>233</v>
      </c>
      <c r="H154" t="s">
        <v>234</v>
      </c>
      <c r="I154" t="s">
        <v>138</v>
      </c>
      <c r="J154" t="s">
        <v>139</v>
      </c>
      <c r="K154" t="s">
        <v>140</v>
      </c>
      <c r="L154" t="s">
        <v>170</v>
      </c>
      <c r="M154" t="s">
        <v>508</v>
      </c>
      <c r="N154" t="s">
        <v>509</v>
      </c>
      <c r="O154" t="s">
        <v>510</v>
      </c>
      <c r="P154" t="s">
        <v>82</v>
      </c>
      <c r="Q154" t="s">
        <v>235</v>
      </c>
      <c r="R154" t="s">
        <v>236</v>
      </c>
      <c r="S154" t="s">
        <v>237</v>
      </c>
      <c r="T154" s="15">
        <v>46535</v>
      </c>
      <c r="U154">
        <v>474</v>
      </c>
      <c r="V154">
        <v>8.4600000000000009</v>
      </c>
      <c r="W154" t="s">
        <v>70</v>
      </c>
      <c r="X154" t="s">
        <v>85</v>
      </c>
      <c r="Y154">
        <v>1</v>
      </c>
      <c r="Z154">
        <v>0</v>
      </c>
      <c r="AA154">
        <v>0</v>
      </c>
    </row>
    <row r="155" spans="1:27" x14ac:dyDescent="0.3">
      <c r="A155" t="s">
        <v>502</v>
      </c>
      <c r="B155" s="15">
        <v>45931</v>
      </c>
      <c r="C155" t="s">
        <v>503</v>
      </c>
      <c r="D155" t="s">
        <v>55</v>
      </c>
      <c r="E155" t="s">
        <v>903</v>
      </c>
      <c r="F155" t="s">
        <v>904</v>
      </c>
      <c r="G155" t="s">
        <v>905</v>
      </c>
      <c r="H155" t="s">
        <v>906</v>
      </c>
      <c r="I155" t="s">
        <v>138</v>
      </c>
      <c r="J155" t="s">
        <v>139</v>
      </c>
      <c r="K155" t="s">
        <v>140</v>
      </c>
      <c r="L155" t="s">
        <v>186</v>
      </c>
      <c r="M155" t="s">
        <v>504</v>
      </c>
      <c r="N155" t="s">
        <v>505</v>
      </c>
      <c r="O155" t="s">
        <v>506</v>
      </c>
      <c r="P155" t="s">
        <v>82</v>
      </c>
      <c r="Q155" t="s">
        <v>235</v>
      </c>
      <c r="R155" t="s">
        <v>236</v>
      </c>
      <c r="S155" t="s">
        <v>907</v>
      </c>
      <c r="T155" s="15">
        <v>46566</v>
      </c>
      <c r="U155">
        <v>474</v>
      </c>
      <c r="V155">
        <v>8.4600000000000009</v>
      </c>
      <c r="W155" t="s">
        <v>70</v>
      </c>
      <c r="X155" t="s">
        <v>85</v>
      </c>
      <c r="Y155">
        <v>1</v>
      </c>
      <c r="Z155">
        <v>0</v>
      </c>
      <c r="AA155">
        <v>0</v>
      </c>
    </row>
    <row r="156" spans="1:27" x14ac:dyDescent="0.3">
      <c r="A156" t="s">
        <v>717</v>
      </c>
      <c r="B156" s="15">
        <v>45931</v>
      </c>
      <c r="C156" t="s">
        <v>272</v>
      </c>
      <c r="D156" t="s">
        <v>55</v>
      </c>
      <c r="E156" t="s">
        <v>903</v>
      </c>
      <c r="F156" t="s">
        <v>904</v>
      </c>
      <c r="G156" t="s">
        <v>905</v>
      </c>
      <c r="H156" t="s">
        <v>906</v>
      </c>
      <c r="I156" t="s">
        <v>138</v>
      </c>
      <c r="J156" t="s">
        <v>139</v>
      </c>
      <c r="K156" t="s">
        <v>140</v>
      </c>
      <c r="L156" t="s">
        <v>718</v>
      </c>
      <c r="M156" t="s">
        <v>719</v>
      </c>
      <c r="N156" t="s">
        <v>720</v>
      </c>
      <c r="O156" t="s">
        <v>721</v>
      </c>
      <c r="P156" t="s">
        <v>82</v>
      </c>
      <c r="Q156" t="s">
        <v>235</v>
      </c>
      <c r="R156" t="s">
        <v>236</v>
      </c>
      <c r="S156" t="s">
        <v>907</v>
      </c>
      <c r="T156" s="15">
        <v>46566</v>
      </c>
      <c r="U156">
        <v>474</v>
      </c>
      <c r="V156">
        <v>8.4600000000000009</v>
      </c>
      <c r="W156" t="s">
        <v>70</v>
      </c>
      <c r="X156" t="s">
        <v>85</v>
      </c>
      <c r="Y156">
        <v>1</v>
      </c>
      <c r="Z156">
        <v>0</v>
      </c>
      <c r="AA156">
        <v>0</v>
      </c>
    </row>
    <row r="157" spans="1:27" x14ac:dyDescent="0.3">
      <c r="A157" t="s">
        <v>502</v>
      </c>
      <c r="B157" s="15">
        <v>45931</v>
      </c>
      <c r="C157" t="s">
        <v>503</v>
      </c>
      <c r="D157" t="s">
        <v>55</v>
      </c>
      <c r="E157" t="s">
        <v>134</v>
      </c>
      <c r="F157" t="s">
        <v>135</v>
      </c>
      <c r="G157" t="s">
        <v>136</v>
      </c>
      <c r="H157" t="s">
        <v>137</v>
      </c>
      <c r="I157" t="s">
        <v>138</v>
      </c>
      <c r="J157" t="s">
        <v>139</v>
      </c>
      <c r="K157" t="s">
        <v>140</v>
      </c>
      <c r="L157" t="s">
        <v>186</v>
      </c>
      <c r="M157" t="s">
        <v>504</v>
      </c>
      <c r="N157" t="s">
        <v>505</v>
      </c>
      <c r="O157" t="s">
        <v>506</v>
      </c>
      <c r="P157" t="s">
        <v>82</v>
      </c>
      <c r="Q157" t="s">
        <v>131</v>
      </c>
      <c r="R157" t="s">
        <v>132</v>
      </c>
      <c r="S157" t="s">
        <v>141</v>
      </c>
      <c r="T157" s="15">
        <v>46535</v>
      </c>
      <c r="U157">
        <v>473</v>
      </c>
      <c r="V157">
        <v>11.66</v>
      </c>
      <c r="W157" t="s">
        <v>70</v>
      </c>
      <c r="X157" t="s">
        <v>85</v>
      </c>
      <c r="Y157">
        <v>0</v>
      </c>
      <c r="Z157">
        <v>0</v>
      </c>
      <c r="AA157">
        <v>0</v>
      </c>
    </row>
    <row r="158" spans="1:27" x14ac:dyDescent="0.3">
      <c r="A158" t="s">
        <v>908</v>
      </c>
      <c r="B158" s="15">
        <v>45752</v>
      </c>
      <c r="C158" t="s">
        <v>73</v>
      </c>
      <c r="D158" t="s">
        <v>55</v>
      </c>
      <c r="E158" t="s">
        <v>347</v>
      </c>
      <c r="F158" t="s">
        <v>723</v>
      </c>
      <c r="G158" t="s">
        <v>349</v>
      </c>
      <c r="H158" t="s">
        <v>724</v>
      </c>
      <c r="I158" t="s">
        <v>113</v>
      </c>
      <c r="J158" t="s">
        <v>114</v>
      </c>
      <c r="K158" t="s">
        <v>115</v>
      </c>
      <c r="L158" t="s">
        <v>63</v>
      </c>
      <c r="M158" t="s">
        <v>725</v>
      </c>
      <c r="N158" t="s">
        <v>726</v>
      </c>
      <c r="O158" t="s">
        <v>909</v>
      </c>
      <c r="P158" t="s">
        <v>119</v>
      </c>
      <c r="Q158" t="s">
        <v>546</v>
      </c>
      <c r="R158" t="s">
        <v>547</v>
      </c>
      <c r="S158" t="s">
        <v>728</v>
      </c>
      <c r="T158" s="15">
        <v>46840</v>
      </c>
      <c r="U158">
        <v>450</v>
      </c>
      <c r="V158">
        <v>5.86</v>
      </c>
      <c r="W158" t="s">
        <v>70</v>
      </c>
      <c r="X158" t="s">
        <v>123</v>
      </c>
      <c r="Y158">
        <v>1</v>
      </c>
      <c r="Z158">
        <v>0</v>
      </c>
      <c r="AA158">
        <v>0</v>
      </c>
    </row>
    <row r="159" spans="1:27" x14ac:dyDescent="0.3">
      <c r="A159" t="s">
        <v>910</v>
      </c>
      <c r="B159" s="15">
        <v>45752</v>
      </c>
      <c r="C159" t="s">
        <v>179</v>
      </c>
      <c r="D159" t="s">
        <v>55</v>
      </c>
      <c r="E159" t="s">
        <v>347</v>
      </c>
      <c r="F159" t="s">
        <v>911</v>
      </c>
      <c r="G159" t="s">
        <v>349</v>
      </c>
      <c r="H159" t="s">
        <v>912</v>
      </c>
      <c r="I159" t="s">
        <v>113</v>
      </c>
      <c r="J159" t="s">
        <v>114</v>
      </c>
      <c r="K159" t="s">
        <v>115</v>
      </c>
      <c r="L159" t="s">
        <v>186</v>
      </c>
      <c r="M159" t="s">
        <v>913</v>
      </c>
      <c r="N159" t="s">
        <v>914</v>
      </c>
      <c r="O159" t="s">
        <v>915</v>
      </c>
      <c r="P159" t="s">
        <v>119</v>
      </c>
      <c r="Q159" t="s">
        <v>916</v>
      </c>
      <c r="R159" t="s">
        <v>917</v>
      </c>
      <c r="S159" t="s">
        <v>918</v>
      </c>
      <c r="T159" s="15">
        <v>46384</v>
      </c>
      <c r="U159">
        <v>450</v>
      </c>
      <c r="V159">
        <v>117.26</v>
      </c>
      <c r="W159" t="s">
        <v>70</v>
      </c>
      <c r="X159" t="s">
        <v>123</v>
      </c>
      <c r="Y159">
        <v>1</v>
      </c>
      <c r="Z159">
        <v>1</v>
      </c>
      <c r="AA159">
        <v>0</v>
      </c>
    </row>
    <row r="160" spans="1:27" x14ac:dyDescent="0.3">
      <c r="A160" t="s">
        <v>919</v>
      </c>
      <c r="B160" s="15">
        <v>45752</v>
      </c>
      <c r="C160" t="s">
        <v>625</v>
      </c>
      <c r="D160" t="s">
        <v>55</v>
      </c>
      <c r="E160" t="s">
        <v>920</v>
      </c>
      <c r="F160" t="s">
        <v>921</v>
      </c>
      <c r="G160" t="s">
        <v>922</v>
      </c>
      <c r="H160" t="s">
        <v>923</v>
      </c>
      <c r="I160" t="s">
        <v>673</v>
      </c>
      <c r="J160" t="s">
        <v>527</v>
      </c>
      <c r="K160" t="s">
        <v>528</v>
      </c>
      <c r="L160" t="s">
        <v>87</v>
      </c>
      <c r="M160" t="s">
        <v>924</v>
      </c>
      <c r="N160" t="s">
        <v>925</v>
      </c>
      <c r="O160" t="s">
        <v>926</v>
      </c>
      <c r="P160" t="s">
        <v>82</v>
      </c>
      <c r="Q160" t="s">
        <v>665</v>
      </c>
      <c r="R160" t="s">
        <v>666</v>
      </c>
      <c r="S160" t="s">
        <v>927</v>
      </c>
      <c r="T160" s="15">
        <v>47297</v>
      </c>
      <c r="U160">
        <v>450</v>
      </c>
      <c r="V160">
        <v>1.27</v>
      </c>
      <c r="W160" t="s">
        <v>70</v>
      </c>
      <c r="X160" t="s">
        <v>123</v>
      </c>
      <c r="Y160">
        <v>1</v>
      </c>
      <c r="Z160">
        <v>1</v>
      </c>
      <c r="AA160">
        <v>0</v>
      </c>
    </row>
    <row r="161" spans="1:27" x14ac:dyDescent="0.3">
      <c r="A161" t="s">
        <v>928</v>
      </c>
      <c r="B161" s="15">
        <v>45842</v>
      </c>
      <c r="C161" t="s">
        <v>73</v>
      </c>
      <c r="D161" t="s">
        <v>55</v>
      </c>
      <c r="E161" t="s">
        <v>322</v>
      </c>
      <c r="F161" t="s">
        <v>323</v>
      </c>
      <c r="G161" t="s">
        <v>324</v>
      </c>
      <c r="H161" t="s">
        <v>325</v>
      </c>
      <c r="I161" t="s">
        <v>167</v>
      </c>
      <c r="J161" t="s">
        <v>326</v>
      </c>
      <c r="K161" t="s">
        <v>327</v>
      </c>
      <c r="L161" t="s">
        <v>87</v>
      </c>
      <c r="M161" t="s">
        <v>768</v>
      </c>
      <c r="N161" t="s">
        <v>769</v>
      </c>
      <c r="O161" t="s">
        <v>929</v>
      </c>
      <c r="P161" t="s">
        <v>167</v>
      </c>
      <c r="Q161" t="s">
        <v>331</v>
      </c>
      <c r="R161" t="s">
        <v>332</v>
      </c>
      <c r="S161" t="s">
        <v>333</v>
      </c>
      <c r="T161" s="15">
        <v>47266</v>
      </c>
      <c r="U161">
        <v>450</v>
      </c>
      <c r="V161">
        <v>0.61</v>
      </c>
      <c r="W161" t="s">
        <v>70</v>
      </c>
      <c r="X161" t="s">
        <v>107</v>
      </c>
      <c r="Y161">
        <v>1</v>
      </c>
      <c r="Z161">
        <v>0</v>
      </c>
      <c r="AA161">
        <v>0</v>
      </c>
    </row>
    <row r="162" spans="1:27" x14ac:dyDescent="0.3">
      <c r="A162" t="s">
        <v>928</v>
      </c>
      <c r="B162" s="15">
        <v>45842</v>
      </c>
      <c r="C162" t="s">
        <v>73</v>
      </c>
      <c r="D162" t="s">
        <v>55</v>
      </c>
      <c r="E162" t="s">
        <v>893</v>
      </c>
      <c r="F162" t="s">
        <v>930</v>
      </c>
      <c r="G162" t="s">
        <v>895</v>
      </c>
      <c r="H162" t="s">
        <v>931</v>
      </c>
      <c r="I162" t="s">
        <v>167</v>
      </c>
      <c r="J162" t="s">
        <v>897</v>
      </c>
      <c r="K162" t="s">
        <v>898</v>
      </c>
      <c r="L162" t="s">
        <v>87</v>
      </c>
      <c r="M162" t="s">
        <v>768</v>
      </c>
      <c r="N162" t="s">
        <v>769</v>
      </c>
      <c r="O162" t="s">
        <v>929</v>
      </c>
      <c r="P162" t="s">
        <v>167</v>
      </c>
      <c r="Q162" t="s">
        <v>932</v>
      </c>
      <c r="R162" t="s">
        <v>933</v>
      </c>
      <c r="S162" t="s">
        <v>934</v>
      </c>
      <c r="T162" s="15">
        <v>46293</v>
      </c>
      <c r="U162">
        <v>450</v>
      </c>
      <c r="V162">
        <v>10.38</v>
      </c>
      <c r="W162" t="s">
        <v>70</v>
      </c>
      <c r="X162" t="s">
        <v>107</v>
      </c>
      <c r="Y162">
        <v>1</v>
      </c>
      <c r="Z162">
        <v>0</v>
      </c>
      <c r="AA162">
        <v>0</v>
      </c>
    </row>
    <row r="163" spans="1:27" x14ac:dyDescent="0.3">
      <c r="A163" t="s">
        <v>596</v>
      </c>
      <c r="B163" s="15">
        <v>45842</v>
      </c>
      <c r="C163" t="s">
        <v>497</v>
      </c>
      <c r="D163" t="s">
        <v>55</v>
      </c>
      <c r="E163" t="s">
        <v>935</v>
      </c>
      <c r="F163" t="s">
        <v>936</v>
      </c>
      <c r="G163" t="s">
        <v>937</v>
      </c>
      <c r="H163" t="s">
        <v>938</v>
      </c>
      <c r="I163" t="s">
        <v>939</v>
      </c>
      <c r="J163" t="s">
        <v>940</v>
      </c>
      <c r="K163" t="s">
        <v>941</v>
      </c>
      <c r="L163" t="s">
        <v>87</v>
      </c>
      <c r="M163" t="s">
        <v>601</v>
      </c>
      <c r="N163" t="s">
        <v>602</v>
      </c>
      <c r="O163" t="s">
        <v>603</v>
      </c>
      <c r="P163" t="s">
        <v>82</v>
      </c>
      <c r="Q163" t="s">
        <v>942</v>
      </c>
      <c r="R163" t="s">
        <v>943</v>
      </c>
      <c r="S163" t="s">
        <v>944</v>
      </c>
      <c r="T163" s="15">
        <v>46596</v>
      </c>
      <c r="U163">
        <v>450</v>
      </c>
      <c r="V163">
        <v>16</v>
      </c>
      <c r="W163" t="s">
        <v>70</v>
      </c>
      <c r="X163" t="s">
        <v>107</v>
      </c>
      <c r="Y163">
        <v>1</v>
      </c>
      <c r="Z163">
        <v>0</v>
      </c>
      <c r="AA163">
        <v>0</v>
      </c>
    </row>
    <row r="164" spans="1:27" x14ac:dyDescent="0.3">
      <c r="A164" t="s">
        <v>945</v>
      </c>
      <c r="B164" s="15">
        <v>45815</v>
      </c>
      <c r="C164" t="s">
        <v>54</v>
      </c>
      <c r="D164" t="s">
        <v>55</v>
      </c>
      <c r="E164" t="s">
        <v>322</v>
      </c>
      <c r="F164" t="s">
        <v>375</v>
      </c>
      <c r="G164" t="s">
        <v>324</v>
      </c>
      <c r="H164" t="s">
        <v>325</v>
      </c>
      <c r="I164" t="s">
        <v>167</v>
      </c>
      <c r="J164" t="s">
        <v>326</v>
      </c>
      <c r="K164" t="s">
        <v>327</v>
      </c>
      <c r="L164" t="s">
        <v>87</v>
      </c>
      <c r="M164" t="s">
        <v>946</v>
      </c>
      <c r="N164" t="s">
        <v>947</v>
      </c>
      <c r="O164" t="s">
        <v>948</v>
      </c>
      <c r="P164" t="s">
        <v>167</v>
      </c>
      <c r="Q164" t="s">
        <v>331</v>
      </c>
      <c r="R164" t="s">
        <v>332</v>
      </c>
      <c r="S164" t="s">
        <v>376</v>
      </c>
      <c r="T164" s="15">
        <v>47266</v>
      </c>
      <c r="U164">
        <v>450</v>
      </c>
      <c r="V164">
        <v>0.61</v>
      </c>
      <c r="W164" t="s">
        <v>70</v>
      </c>
      <c r="X164" t="s">
        <v>177</v>
      </c>
      <c r="Y164">
        <v>0</v>
      </c>
      <c r="Z164">
        <v>0</v>
      </c>
      <c r="AA164">
        <v>0</v>
      </c>
    </row>
    <row r="165" spans="1:27" x14ac:dyDescent="0.3">
      <c r="A165" t="s">
        <v>949</v>
      </c>
      <c r="B165" s="15">
        <v>45815</v>
      </c>
      <c r="C165" t="s">
        <v>73</v>
      </c>
      <c r="D165" t="s">
        <v>55</v>
      </c>
      <c r="E165" t="s">
        <v>950</v>
      </c>
      <c r="F165" t="s">
        <v>951</v>
      </c>
      <c r="G165" t="s">
        <v>952</v>
      </c>
      <c r="H165" t="s">
        <v>953</v>
      </c>
      <c r="I165" t="s">
        <v>954</v>
      </c>
      <c r="J165" t="s">
        <v>955</v>
      </c>
      <c r="K165" t="s">
        <v>956</v>
      </c>
      <c r="L165" t="s">
        <v>87</v>
      </c>
      <c r="M165" t="s">
        <v>946</v>
      </c>
      <c r="N165" t="s">
        <v>947</v>
      </c>
      <c r="O165" t="s">
        <v>957</v>
      </c>
      <c r="P165" t="s">
        <v>67</v>
      </c>
      <c r="Q165" t="s">
        <v>546</v>
      </c>
      <c r="R165" t="s">
        <v>547</v>
      </c>
      <c r="S165" t="s">
        <v>958</v>
      </c>
      <c r="T165" s="15">
        <v>47146</v>
      </c>
      <c r="U165">
        <v>450</v>
      </c>
      <c r="V165">
        <v>4.4000000000000004</v>
      </c>
      <c r="W165" t="s">
        <v>70</v>
      </c>
      <c r="X165" t="s">
        <v>177</v>
      </c>
      <c r="Y165">
        <v>0</v>
      </c>
      <c r="Z165">
        <v>0</v>
      </c>
      <c r="AA165">
        <v>0</v>
      </c>
    </row>
    <row r="166" spans="1:27" x14ac:dyDescent="0.3">
      <c r="A166" t="s">
        <v>959</v>
      </c>
      <c r="B166" s="15">
        <v>45815</v>
      </c>
      <c r="C166" t="s">
        <v>497</v>
      </c>
      <c r="D166" t="s">
        <v>55</v>
      </c>
      <c r="E166" t="s">
        <v>950</v>
      </c>
      <c r="F166" t="s">
        <v>951</v>
      </c>
      <c r="G166" t="s">
        <v>952</v>
      </c>
      <c r="H166" t="s">
        <v>953</v>
      </c>
      <c r="I166" t="s">
        <v>954</v>
      </c>
      <c r="J166" t="s">
        <v>955</v>
      </c>
      <c r="K166" t="s">
        <v>956</v>
      </c>
      <c r="L166" t="s">
        <v>87</v>
      </c>
      <c r="M166" t="s">
        <v>946</v>
      </c>
      <c r="N166" t="s">
        <v>947</v>
      </c>
      <c r="O166" t="s">
        <v>960</v>
      </c>
      <c r="P166" t="s">
        <v>67</v>
      </c>
      <c r="Q166" t="s">
        <v>546</v>
      </c>
      <c r="R166" t="s">
        <v>547</v>
      </c>
      <c r="S166" t="s">
        <v>958</v>
      </c>
      <c r="T166" s="15">
        <v>47146</v>
      </c>
      <c r="U166">
        <v>450</v>
      </c>
      <c r="V166">
        <v>4.4000000000000004</v>
      </c>
      <c r="W166" t="s">
        <v>70</v>
      </c>
      <c r="X166" t="s">
        <v>177</v>
      </c>
      <c r="Y166">
        <v>0</v>
      </c>
      <c r="Z166">
        <v>0</v>
      </c>
      <c r="AA166">
        <v>0</v>
      </c>
    </row>
    <row r="167" spans="1:27" x14ac:dyDescent="0.3">
      <c r="A167" t="s">
        <v>961</v>
      </c>
      <c r="B167" s="15">
        <v>45815</v>
      </c>
      <c r="C167" t="s">
        <v>272</v>
      </c>
      <c r="D167" t="s">
        <v>55</v>
      </c>
      <c r="E167" t="s">
        <v>950</v>
      </c>
      <c r="F167" t="s">
        <v>951</v>
      </c>
      <c r="G167" t="s">
        <v>952</v>
      </c>
      <c r="H167" t="s">
        <v>953</v>
      </c>
      <c r="I167" t="s">
        <v>954</v>
      </c>
      <c r="J167" t="s">
        <v>955</v>
      </c>
      <c r="K167" t="s">
        <v>956</v>
      </c>
      <c r="L167" t="s">
        <v>87</v>
      </c>
      <c r="M167" t="s">
        <v>946</v>
      </c>
      <c r="N167" t="s">
        <v>947</v>
      </c>
      <c r="O167" t="s">
        <v>962</v>
      </c>
      <c r="P167" t="s">
        <v>67</v>
      </c>
      <c r="Q167" t="s">
        <v>546</v>
      </c>
      <c r="R167" t="s">
        <v>547</v>
      </c>
      <c r="S167" t="s">
        <v>958</v>
      </c>
      <c r="T167" s="15">
        <v>47146</v>
      </c>
      <c r="U167">
        <v>450</v>
      </c>
      <c r="V167">
        <v>4.4000000000000004</v>
      </c>
      <c r="W167" t="s">
        <v>70</v>
      </c>
      <c r="X167" t="s">
        <v>177</v>
      </c>
      <c r="Y167">
        <v>0</v>
      </c>
      <c r="Z167">
        <v>0</v>
      </c>
      <c r="AA167">
        <v>0</v>
      </c>
    </row>
    <row r="168" spans="1:27" x14ac:dyDescent="0.3">
      <c r="A168" t="s">
        <v>928</v>
      </c>
      <c r="B168" s="15">
        <v>45842</v>
      </c>
      <c r="C168" t="s">
        <v>73</v>
      </c>
      <c r="D168" t="s">
        <v>55</v>
      </c>
      <c r="E168" t="s">
        <v>893</v>
      </c>
      <c r="F168" t="s">
        <v>894</v>
      </c>
      <c r="G168" t="s">
        <v>895</v>
      </c>
      <c r="H168" t="s">
        <v>896</v>
      </c>
      <c r="I168" t="s">
        <v>167</v>
      </c>
      <c r="J168" t="s">
        <v>897</v>
      </c>
      <c r="K168" t="s">
        <v>898</v>
      </c>
      <c r="L168" t="s">
        <v>87</v>
      </c>
      <c r="M168" t="s">
        <v>768</v>
      </c>
      <c r="N168" t="s">
        <v>769</v>
      </c>
      <c r="O168" t="s">
        <v>929</v>
      </c>
      <c r="P168" t="s">
        <v>167</v>
      </c>
      <c r="Q168" t="s">
        <v>900</v>
      </c>
      <c r="R168" t="s">
        <v>901</v>
      </c>
      <c r="S168" t="s">
        <v>902</v>
      </c>
      <c r="T168" s="15">
        <v>46354</v>
      </c>
      <c r="U168">
        <v>446</v>
      </c>
      <c r="V168">
        <v>17.2</v>
      </c>
      <c r="W168" t="s">
        <v>70</v>
      </c>
      <c r="X168" t="s">
        <v>107</v>
      </c>
      <c r="Y168">
        <v>1</v>
      </c>
      <c r="Z168">
        <v>0</v>
      </c>
      <c r="AA168">
        <v>0</v>
      </c>
    </row>
    <row r="169" spans="1:27" x14ac:dyDescent="0.3">
      <c r="A169" t="s">
        <v>86</v>
      </c>
      <c r="B169" s="15">
        <v>45931</v>
      </c>
      <c r="C169" t="s">
        <v>93</v>
      </c>
      <c r="D169" t="s">
        <v>55</v>
      </c>
      <c r="E169" t="s">
        <v>963</v>
      </c>
      <c r="F169" t="s">
        <v>964</v>
      </c>
      <c r="G169" t="s">
        <v>965</v>
      </c>
      <c r="H169" t="s">
        <v>966</v>
      </c>
      <c r="I169" t="s">
        <v>138</v>
      </c>
      <c r="J169" t="s">
        <v>139</v>
      </c>
      <c r="K169" t="s">
        <v>140</v>
      </c>
      <c r="L169" t="s">
        <v>87</v>
      </c>
      <c r="M169" t="s">
        <v>88</v>
      </c>
      <c r="N169" t="s">
        <v>89</v>
      </c>
      <c r="O169" t="s">
        <v>90</v>
      </c>
      <c r="P169" t="s">
        <v>82</v>
      </c>
      <c r="Q169" t="s">
        <v>304</v>
      </c>
      <c r="R169" t="s">
        <v>305</v>
      </c>
      <c r="S169" t="s">
        <v>967</v>
      </c>
      <c r="T169" s="15">
        <v>46354</v>
      </c>
      <c r="U169">
        <v>444</v>
      </c>
      <c r="V169">
        <v>9.4600000000000009</v>
      </c>
      <c r="W169" t="s">
        <v>70</v>
      </c>
      <c r="X169" t="s">
        <v>85</v>
      </c>
      <c r="Y169">
        <v>1</v>
      </c>
      <c r="Z169">
        <v>0</v>
      </c>
      <c r="AA169">
        <v>0</v>
      </c>
    </row>
    <row r="170" spans="1:27" x14ac:dyDescent="0.3">
      <c r="A170" t="s">
        <v>596</v>
      </c>
      <c r="B170" s="15">
        <v>45842</v>
      </c>
      <c r="C170" t="s">
        <v>497</v>
      </c>
      <c r="D170" t="s">
        <v>55</v>
      </c>
      <c r="E170" t="s">
        <v>968</v>
      </c>
      <c r="F170" t="s">
        <v>969</v>
      </c>
      <c r="G170" t="s">
        <v>970</v>
      </c>
      <c r="H170" t="s">
        <v>971</v>
      </c>
      <c r="I170" t="s">
        <v>138</v>
      </c>
      <c r="J170" t="s">
        <v>139</v>
      </c>
      <c r="K170" t="s">
        <v>140</v>
      </c>
      <c r="L170" t="s">
        <v>87</v>
      </c>
      <c r="M170" t="s">
        <v>601</v>
      </c>
      <c r="N170" t="s">
        <v>602</v>
      </c>
      <c r="O170" t="s">
        <v>603</v>
      </c>
      <c r="P170" t="s">
        <v>82</v>
      </c>
      <c r="Q170" t="s">
        <v>972</v>
      </c>
      <c r="R170" t="s">
        <v>973</v>
      </c>
      <c r="S170" t="s">
        <v>974</v>
      </c>
      <c r="T170" s="15">
        <v>46354</v>
      </c>
      <c r="U170">
        <v>443</v>
      </c>
      <c r="V170">
        <v>5.95</v>
      </c>
      <c r="W170" t="s">
        <v>70</v>
      </c>
      <c r="X170" t="s">
        <v>107</v>
      </c>
      <c r="Y170">
        <v>1</v>
      </c>
      <c r="Z170">
        <v>0</v>
      </c>
      <c r="AA170">
        <v>0</v>
      </c>
    </row>
    <row r="171" spans="1:27" x14ac:dyDescent="0.3">
      <c r="A171" t="s">
        <v>928</v>
      </c>
      <c r="B171" s="15">
        <v>45842</v>
      </c>
      <c r="C171" t="s">
        <v>73</v>
      </c>
      <c r="D171" t="s">
        <v>55</v>
      </c>
      <c r="E171" t="s">
        <v>163</v>
      </c>
      <c r="F171" t="s">
        <v>164</v>
      </c>
      <c r="G171" t="s">
        <v>165</v>
      </c>
      <c r="H171" t="s">
        <v>166</v>
      </c>
      <c r="I171" t="s">
        <v>167</v>
      </c>
      <c r="J171" t="s">
        <v>168</v>
      </c>
      <c r="K171" t="s">
        <v>169</v>
      </c>
      <c r="L171" t="s">
        <v>87</v>
      </c>
      <c r="M171" t="s">
        <v>768</v>
      </c>
      <c r="N171" t="s">
        <v>769</v>
      </c>
      <c r="O171" t="s">
        <v>929</v>
      </c>
      <c r="P171" t="s">
        <v>167</v>
      </c>
      <c r="Q171" t="s">
        <v>174</v>
      </c>
      <c r="R171" t="s">
        <v>175</v>
      </c>
      <c r="S171" t="s">
        <v>176</v>
      </c>
      <c r="T171" s="15">
        <v>46446</v>
      </c>
      <c r="U171">
        <v>442</v>
      </c>
      <c r="V171">
        <v>2.6</v>
      </c>
      <c r="W171" t="s">
        <v>70</v>
      </c>
      <c r="X171" t="s">
        <v>107</v>
      </c>
      <c r="Y171">
        <v>1</v>
      </c>
      <c r="Z171">
        <v>0</v>
      </c>
      <c r="AA171">
        <v>0</v>
      </c>
    </row>
    <row r="172" spans="1:27" x14ac:dyDescent="0.3">
      <c r="A172" t="s">
        <v>708</v>
      </c>
      <c r="B172" s="15">
        <v>45815</v>
      </c>
      <c r="C172" t="s">
        <v>497</v>
      </c>
      <c r="D172" t="s">
        <v>55</v>
      </c>
      <c r="E172" t="s">
        <v>975</v>
      </c>
      <c r="F172" t="s">
        <v>976</v>
      </c>
      <c r="G172" t="s">
        <v>977</v>
      </c>
      <c r="H172" t="s">
        <v>978</v>
      </c>
      <c r="I172" t="s">
        <v>979</v>
      </c>
      <c r="J172" t="s">
        <v>980</v>
      </c>
      <c r="K172" t="s">
        <v>981</v>
      </c>
      <c r="L172" t="s">
        <v>186</v>
      </c>
      <c r="M172" t="s">
        <v>713</v>
      </c>
      <c r="N172" t="s">
        <v>714</v>
      </c>
      <c r="O172" t="s">
        <v>715</v>
      </c>
      <c r="P172" t="s">
        <v>82</v>
      </c>
      <c r="Q172" t="s">
        <v>228</v>
      </c>
      <c r="R172" t="s">
        <v>229</v>
      </c>
      <c r="S172" t="s">
        <v>982</v>
      </c>
      <c r="T172" s="15">
        <v>46201</v>
      </c>
      <c r="U172">
        <v>438</v>
      </c>
      <c r="V172">
        <v>10.35</v>
      </c>
      <c r="W172" t="s">
        <v>70</v>
      </c>
      <c r="X172" t="s">
        <v>177</v>
      </c>
      <c r="Y172">
        <v>0</v>
      </c>
      <c r="Z172">
        <v>0</v>
      </c>
      <c r="AA172">
        <v>0</v>
      </c>
    </row>
    <row r="173" spans="1:27" x14ac:dyDescent="0.3">
      <c r="A173" t="s">
        <v>108</v>
      </c>
      <c r="B173" s="15">
        <v>45752</v>
      </c>
      <c r="C173" t="s">
        <v>54</v>
      </c>
      <c r="D173" t="s">
        <v>55</v>
      </c>
      <c r="E173" t="s">
        <v>340</v>
      </c>
      <c r="F173" t="s">
        <v>983</v>
      </c>
      <c r="G173" t="s">
        <v>342</v>
      </c>
      <c r="H173" t="s">
        <v>343</v>
      </c>
      <c r="I173" t="s">
        <v>211</v>
      </c>
      <c r="J173" t="s">
        <v>212</v>
      </c>
      <c r="K173" t="s">
        <v>213</v>
      </c>
      <c r="L173" t="s">
        <v>63</v>
      </c>
      <c r="M173" t="s">
        <v>116</v>
      </c>
      <c r="N173" t="s">
        <v>117</v>
      </c>
      <c r="O173" t="s">
        <v>118</v>
      </c>
      <c r="P173" t="s">
        <v>119</v>
      </c>
      <c r="Q173" t="s">
        <v>159</v>
      </c>
      <c r="R173" t="s">
        <v>160</v>
      </c>
      <c r="S173" t="s">
        <v>984</v>
      </c>
      <c r="T173" s="15">
        <v>47202</v>
      </c>
      <c r="U173">
        <v>435</v>
      </c>
      <c r="V173">
        <v>16</v>
      </c>
      <c r="W173" t="s">
        <v>70</v>
      </c>
      <c r="X173" t="s">
        <v>123</v>
      </c>
      <c r="Y173">
        <v>1</v>
      </c>
      <c r="Z173">
        <v>1</v>
      </c>
      <c r="AA173">
        <v>0</v>
      </c>
    </row>
    <row r="174" spans="1:27" x14ac:dyDescent="0.3">
      <c r="A174" t="s">
        <v>142</v>
      </c>
      <c r="B174" s="15">
        <v>45931</v>
      </c>
      <c r="C174" t="s">
        <v>93</v>
      </c>
      <c r="D174" t="s">
        <v>55</v>
      </c>
      <c r="E174" t="s">
        <v>985</v>
      </c>
      <c r="F174" t="s">
        <v>986</v>
      </c>
      <c r="G174" t="s">
        <v>987</v>
      </c>
      <c r="H174" t="s">
        <v>988</v>
      </c>
      <c r="I174" t="s">
        <v>989</v>
      </c>
      <c r="J174" t="s">
        <v>695</v>
      </c>
      <c r="K174" t="s">
        <v>696</v>
      </c>
      <c r="L174" t="s">
        <v>87</v>
      </c>
      <c r="M174" t="s">
        <v>88</v>
      </c>
      <c r="N174" t="s">
        <v>89</v>
      </c>
      <c r="O174" t="s">
        <v>150</v>
      </c>
      <c r="P174" t="s">
        <v>82</v>
      </c>
      <c r="Q174" t="s">
        <v>990</v>
      </c>
      <c r="R174" t="s">
        <v>991</v>
      </c>
      <c r="S174" t="s">
        <v>992</v>
      </c>
      <c r="T174" s="15">
        <v>46691</v>
      </c>
      <c r="U174">
        <v>434</v>
      </c>
      <c r="V174">
        <v>12</v>
      </c>
      <c r="W174" t="s">
        <v>70</v>
      </c>
      <c r="X174" t="s">
        <v>85</v>
      </c>
      <c r="Y174">
        <v>1</v>
      </c>
      <c r="Z174">
        <v>0</v>
      </c>
      <c r="AA174">
        <v>1</v>
      </c>
    </row>
    <row r="175" spans="1:27" x14ac:dyDescent="0.3">
      <c r="A175" t="s">
        <v>993</v>
      </c>
      <c r="B175" s="15">
        <v>45931</v>
      </c>
      <c r="C175" t="s">
        <v>95</v>
      </c>
      <c r="D175" t="s">
        <v>55</v>
      </c>
      <c r="E175" t="s">
        <v>617</v>
      </c>
      <c r="F175" t="s">
        <v>994</v>
      </c>
      <c r="G175" t="s">
        <v>619</v>
      </c>
      <c r="H175" t="s">
        <v>995</v>
      </c>
      <c r="I175" t="s">
        <v>167</v>
      </c>
      <c r="J175" t="s">
        <v>621</v>
      </c>
      <c r="K175" t="s">
        <v>622</v>
      </c>
      <c r="L175" t="s">
        <v>63</v>
      </c>
      <c r="M175" t="s">
        <v>214</v>
      </c>
      <c r="N175" t="s">
        <v>215</v>
      </c>
      <c r="O175" t="s">
        <v>996</v>
      </c>
      <c r="P175" t="s">
        <v>167</v>
      </c>
      <c r="Q175" t="s">
        <v>997</v>
      </c>
      <c r="R175" t="s">
        <v>998</v>
      </c>
      <c r="S175" t="s">
        <v>999</v>
      </c>
      <c r="T175" s="15">
        <v>46262</v>
      </c>
      <c r="U175">
        <v>432</v>
      </c>
      <c r="V175">
        <v>182.32</v>
      </c>
      <c r="W175" t="s">
        <v>70</v>
      </c>
      <c r="X175" t="s">
        <v>85</v>
      </c>
      <c r="Y175">
        <v>1</v>
      </c>
      <c r="Z175">
        <v>1</v>
      </c>
      <c r="AA175">
        <v>0</v>
      </c>
    </row>
    <row r="176" spans="1:27" x14ac:dyDescent="0.3">
      <c r="A176" t="s">
        <v>1000</v>
      </c>
      <c r="B176" s="15">
        <v>45752</v>
      </c>
      <c r="C176" t="s">
        <v>625</v>
      </c>
      <c r="D176" t="s">
        <v>55</v>
      </c>
      <c r="E176" t="s">
        <v>868</v>
      </c>
      <c r="F176" t="s">
        <v>869</v>
      </c>
      <c r="G176" t="s">
        <v>870</v>
      </c>
      <c r="H176" t="s">
        <v>871</v>
      </c>
      <c r="I176" t="s">
        <v>167</v>
      </c>
      <c r="J176" t="s">
        <v>872</v>
      </c>
      <c r="K176" t="s">
        <v>873</v>
      </c>
      <c r="L176" t="s">
        <v>87</v>
      </c>
      <c r="M176" t="s">
        <v>924</v>
      </c>
      <c r="N176" t="s">
        <v>925</v>
      </c>
      <c r="O176" t="s">
        <v>1001</v>
      </c>
      <c r="P176" t="s">
        <v>167</v>
      </c>
      <c r="Q176" t="s">
        <v>656</v>
      </c>
      <c r="R176" t="s">
        <v>657</v>
      </c>
      <c r="S176" t="s">
        <v>877</v>
      </c>
      <c r="T176" s="15">
        <v>47389</v>
      </c>
      <c r="U176">
        <v>430</v>
      </c>
      <c r="V176">
        <v>6</v>
      </c>
      <c r="W176" t="s">
        <v>70</v>
      </c>
      <c r="X176" t="s">
        <v>123</v>
      </c>
      <c r="Y176">
        <v>1</v>
      </c>
      <c r="Z176">
        <v>0</v>
      </c>
      <c r="AA176">
        <v>0</v>
      </c>
    </row>
    <row r="177" spans="1:27" x14ac:dyDescent="0.3">
      <c r="A177" t="s">
        <v>549</v>
      </c>
      <c r="B177" s="15">
        <v>45842</v>
      </c>
      <c r="C177" t="s">
        <v>179</v>
      </c>
      <c r="D177" t="s">
        <v>55</v>
      </c>
      <c r="E177" t="s">
        <v>797</v>
      </c>
      <c r="F177" t="s">
        <v>1002</v>
      </c>
      <c r="G177" t="s">
        <v>799</v>
      </c>
      <c r="H177" t="s">
        <v>1003</v>
      </c>
      <c r="I177" t="s">
        <v>167</v>
      </c>
      <c r="J177" t="s">
        <v>630</v>
      </c>
      <c r="K177" t="s">
        <v>631</v>
      </c>
      <c r="L177" t="s">
        <v>186</v>
      </c>
      <c r="M177" t="s">
        <v>239</v>
      </c>
      <c r="N177" t="s">
        <v>240</v>
      </c>
      <c r="O177" t="s">
        <v>554</v>
      </c>
      <c r="P177" t="s">
        <v>167</v>
      </c>
      <c r="Q177" t="s">
        <v>83</v>
      </c>
      <c r="R177" t="s">
        <v>92</v>
      </c>
      <c r="S177" t="s">
        <v>1004</v>
      </c>
      <c r="T177" s="15">
        <v>46354</v>
      </c>
      <c r="U177">
        <v>424</v>
      </c>
      <c r="V177">
        <v>18.350000000000001</v>
      </c>
      <c r="W177" t="s">
        <v>70</v>
      </c>
      <c r="X177" t="s">
        <v>107</v>
      </c>
      <c r="Y177">
        <v>1</v>
      </c>
      <c r="Z177">
        <v>0</v>
      </c>
      <c r="AA177">
        <v>0</v>
      </c>
    </row>
    <row r="178" spans="1:27" x14ac:dyDescent="0.3">
      <c r="A178" t="s">
        <v>496</v>
      </c>
      <c r="B178" s="15">
        <v>45931</v>
      </c>
      <c r="C178" t="s">
        <v>497</v>
      </c>
      <c r="D178" t="s">
        <v>55</v>
      </c>
      <c r="E178" t="s">
        <v>250</v>
      </c>
      <c r="F178" t="s">
        <v>251</v>
      </c>
      <c r="G178" t="s">
        <v>252</v>
      </c>
      <c r="H178" t="s">
        <v>253</v>
      </c>
      <c r="I178" t="s">
        <v>254</v>
      </c>
      <c r="J178" t="s">
        <v>139</v>
      </c>
      <c r="K178" t="s">
        <v>140</v>
      </c>
      <c r="L178" t="s">
        <v>498</v>
      </c>
      <c r="M178" t="s">
        <v>499</v>
      </c>
      <c r="N178" t="s">
        <v>500</v>
      </c>
      <c r="O178" t="s">
        <v>501</v>
      </c>
      <c r="P178" t="s">
        <v>82</v>
      </c>
      <c r="Q178" t="s">
        <v>255</v>
      </c>
      <c r="R178" t="s">
        <v>256</v>
      </c>
      <c r="S178" t="s">
        <v>257</v>
      </c>
      <c r="T178" s="15">
        <v>46474</v>
      </c>
      <c r="U178">
        <v>422</v>
      </c>
      <c r="V178">
        <v>8.4</v>
      </c>
      <c r="W178" t="s">
        <v>70</v>
      </c>
      <c r="X178" t="s">
        <v>85</v>
      </c>
      <c r="Y178">
        <v>1</v>
      </c>
      <c r="Z178">
        <v>0</v>
      </c>
      <c r="AA178">
        <v>0</v>
      </c>
    </row>
    <row r="179" spans="1:27" x14ac:dyDescent="0.3">
      <c r="A179" t="s">
        <v>502</v>
      </c>
      <c r="B179" s="15">
        <v>45931</v>
      </c>
      <c r="C179" t="s">
        <v>503</v>
      </c>
      <c r="D179" t="s">
        <v>55</v>
      </c>
      <c r="E179" t="s">
        <v>250</v>
      </c>
      <c r="F179" t="s">
        <v>251</v>
      </c>
      <c r="G179" t="s">
        <v>252</v>
      </c>
      <c r="H179" t="s">
        <v>253</v>
      </c>
      <c r="I179" t="s">
        <v>254</v>
      </c>
      <c r="J179" t="s">
        <v>139</v>
      </c>
      <c r="K179" t="s">
        <v>140</v>
      </c>
      <c r="L179" t="s">
        <v>186</v>
      </c>
      <c r="M179" t="s">
        <v>504</v>
      </c>
      <c r="N179" t="s">
        <v>505</v>
      </c>
      <c r="O179" t="s">
        <v>506</v>
      </c>
      <c r="P179" t="s">
        <v>82</v>
      </c>
      <c r="Q179" t="s">
        <v>255</v>
      </c>
      <c r="R179" t="s">
        <v>256</v>
      </c>
      <c r="S179" t="s">
        <v>257</v>
      </c>
      <c r="T179" s="15">
        <v>46474</v>
      </c>
      <c r="U179">
        <v>422</v>
      </c>
      <c r="V179">
        <v>8.4</v>
      </c>
      <c r="W179" t="s">
        <v>70</v>
      </c>
      <c r="X179" t="s">
        <v>85</v>
      </c>
      <c r="Y179">
        <v>1</v>
      </c>
      <c r="Z179">
        <v>0</v>
      </c>
      <c r="AA179">
        <v>0</v>
      </c>
    </row>
    <row r="180" spans="1:27" x14ac:dyDescent="0.3">
      <c r="A180" t="s">
        <v>507</v>
      </c>
      <c r="B180" s="15">
        <v>45931</v>
      </c>
      <c r="C180" t="s">
        <v>497</v>
      </c>
      <c r="D180" t="s">
        <v>55</v>
      </c>
      <c r="E180" t="s">
        <v>250</v>
      </c>
      <c r="F180" t="s">
        <v>251</v>
      </c>
      <c r="G180" t="s">
        <v>252</v>
      </c>
      <c r="H180" t="s">
        <v>253</v>
      </c>
      <c r="I180" t="s">
        <v>254</v>
      </c>
      <c r="J180" t="s">
        <v>139</v>
      </c>
      <c r="K180" t="s">
        <v>140</v>
      </c>
      <c r="L180" t="s">
        <v>170</v>
      </c>
      <c r="M180" t="s">
        <v>508</v>
      </c>
      <c r="N180" t="s">
        <v>509</v>
      </c>
      <c r="O180" t="s">
        <v>510</v>
      </c>
      <c r="P180" t="s">
        <v>82</v>
      </c>
      <c r="Q180" t="s">
        <v>255</v>
      </c>
      <c r="R180" t="s">
        <v>256</v>
      </c>
      <c r="S180" t="s">
        <v>257</v>
      </c>
      <c r="T180" s="15">
        <v>46474</v>
      </c>
      <c r="U180">
        <v>422</v>
      </c>
      <c r="V180">
        <v>8.4</v>
      </c>
      <c r="W180" t="s">
        <v>70</v>
      </c>
      <c r="X180" t="s">
        <v>85</v>
      </c>
      <c r="Y180">
        <v>1</v>
      </c>
      <c r="Z180">
        <v>0</v>
      </c>
      <c r="AA180">
        <v>0</v>
      </c>
    </row>
    <row r="181" spans="1:27" x14ac:dyDescent="0.3">
      <c r="A181" t="s">
        <v>511</v>
      </c>
      <c r="B181" s="15">
        <v>45931</v>
      </c>
      <c r="C181" t="s">
        <v>73</v>
      </c>
      <c r="D181" t="s">
        <v>55</v>
      </c>
      <c r="E181" t="s">
        <v>250</v>
      </c>
      <c r="F181" t="s">
        <v>251</v>
      </c>
      <c r="G181" t="s">
        <v>252</v>
      </c>
      <c r="H181" t="s">
        <v>253</v>
      </c>
      <c r="I181" t="s">
        <v>254</v>
      </c>
      <c r="J181" t="s">
        <v>139</v>
      </c>
      <c r="K181" t="s">
        <v>140</v>
      </c>
      <c r="L181" t="s">
        <v>170</v>
      </c>
      <c r="M181" t="s">
        <v>512</v>
      </c>
      <c r="N181" t="s">
        <v>513</v>
      </c>
      <c r="O181" t="s">
        <v>514</v>
      </c>
      <c r="P181" t="s">
        <v>82</v>
      </c>
      <c r="Q181" t="s">
        <v>255</v>
      </c>
      <c r="R181" t="s">
        <v>256</v>
      </c>
      <c r="S181" t="s">
        <v>257</v>
      </c>
      <c r="T181" s="15">
        <v>46474</v>
      </c>
      <c r="U181">
        <v>422</v>
      </c>
      <c r="V181">
        <v>8.4</v>
      </c>
      <c r="W181" t="s">
        <v>70</v>
      </c>
      <c r="X181" t="s">
        <v>85</v>
      </c>
      <c r="Y181">
        <v>1</v>
      </c>
      <c r="Z181">
        <v>0</v>
      </c>
      <c r="AA181">
        <v>0</v>
      </c>
    </row>
    <row r="182" spans="1:27" x14ac:dyDescent="0.3">
      <c r="A182" t="s">
        <v>717</v>
      </c>
      <c r="B182" s="15">
        <v>45931</v>
      </c>
      <c r="C182" t="s">
        <v>272</v>
      </c>
      <c r="D182" t="s">
        <v>55</v>
      </c>
      <c r="E182" t="s">
        <v>250</v>
      </c>
      <c r="F182" t="s">
        <v>251</v>
      </c>
      <c r="G182" t="s">
        <v>252</v>
      </c>
      <c r="H182" t="s">
        <v>253</v>
      </c>
      <c r="I182" t="s">
        <v>254</v>
      </c>
      <c r="J182" t="s">
        <v>139</v>
      </c>
      <c r="K182" t="s">
        <v>140</v>
      </c>
      <c r="L182" t="s">
        <v>718</v>
      </c>
      <c r="M182" t="s">
        <v>719</v>
      </c>
      <c r="N182" t="s">
        <v>720</v>
      </c>
      <c r="O182" t="s">
        <v>721</v>
      </c>
      <c r="P182" t="s">
        <v>82</v>
      </c>
      <c r="Q182" t="s">
        <v>255</v>
      </c>
      <c r="R182" t="s">
        <v>256</v>
      </c>
      <c r="S182" t="s">
        <v>257</v>
      </c>
      <c r="T182" s="15">
        <v>46474</v>
      </c>
      <c r="U182">
        <v>422</v>
      </c>
      <c r="V182">
        <v>8.4</v>
      </c>
      <c r="W182" t="s">
        <v>70</v>
      </c>
      <c r="X182" t="s">
        <v>85</v>
      </c>
      <c r="Y182">
        <v>1</v>
      </c>
      <c r="Z182">
        <v>0</v>
      </c>
      <c r="AA182">
        <v>0</v>
      </c>
    </row>
    <row r="183" spans="1:27" x14ac:dyDescent="0.3">
      <c r="A183" t="s">
        <v>238</v>
      </c>
      <c r="B183" s="15">
        <v>45931</v>
      </c>
      <c r="C183" t="s">
        <v>179</v>
      </c>
      <c r="D183" t="s">
        <v>55</v>
      </c>
      <c r="E183" t="s">
        <v>313</v>
      </c>
      <c r="F183" t="s">
        <v>1005</v>
      </c>
      <c r="G183" t="s">
        <v>315</v>
      </c>
      <c r="H183" t="s">
        <v>791</v>
      </c>
      <c r="I183" t="s">
        <v>128</v>
      </c>
      <c r="J183" t="s">
        <v>129</v>
      </c>
      <c r="K183" t="s">
        <v>130</v>
      </c>
      <c r="L183" t="s">
        <v>186</v>
      </c>
      <c r="M183" t="s">
        <v>239</v>
      </c>
      <c r="N183" t="s">
        <v>240</v>
      </c>
      <c r="O183" t="s">
        <v>241</v>
      </c>
      <c r="P183" t="s">
        <v>82</v>
      </c>
      <c r="Q183" t="s">
        <v>317</v>
      </c>
      <c r="R183" t="s">
        <v>318</v>
      </c>
      <c r="S183" t="s">
        <v>1006</v>
      </c>
      <c r="T183" s="15">
        <v>46505</v>
      </c>
      <c r="U183">
        <v>421</v>
      </c>
      <c r="V183">
        <v>10.06</v>
      </c>
      <c r="W183" t="s">
        <v>70</v>
      </c>
      <c r="X183" t="s">
        <v>85</v>
      </c>
      <c r="Y183">
        <v>1</v>
      </c>
      <c r="Z183">
        <v>0</v>
      </c>
      <c r="AA183">
        <v>0</v>
      </c>
    </row>
    <row r="184" spans="1:27" x14ac:dyDescent="0.3">
      <c r="A184" t="s">
        <v>708</v>
      </c>
      <c r="B184" s="15">
        <v>45815</v>
      </c>
      <c r="C184" t="s">
        <v>497</v>
      </c>
      <c r="D184" t="s">
        <v>55</v>
      </c>
      <c r="E184" t="s">
        <v>433</v>
      </c>
      <c r="F184" t="s">
        <v>434</v>
      </c>
      <c r="G184" t="s">
        <v>435</v>
      </c>
      <c r="H184" t="s">
        <v>436</v>
      </c>
      <c r="I184" t="s">
        <v>254</v>
      </c>
      <c r="J184" t="s">
        <v>139</v>
      </c>
      <c r="K184" t="s">
        <v>140</v>
      </c>
      <c r="L184" t="s">
        <v>186</v>
      </c>
      <c r="M184" t="s">
        <v>713</v>
      </c>
      <c r="N184" t="s">
        <v>714</v>
      </c>
      <c r="O184" t="s">
        <v>715</v>
      </c>
      <c r="P184" t="s">
        <v>82</v>
      </c>
      <c r="Q184" t="s">
        <v>198</v>
      </c>
      <c r="R184" t="s">
        <v>199</v>
      </c>
      <c r="S184" t="s">
        <v>437</v>
      </c>
      <c r="T184" s="15">
        <v>46474</v>
      </c>
      <c r="U184">
        <v>420</v>
      </c>
      <c r="V184">
        <v>7.03</v>
      </c>
      <c r="W184" t="s">
        <v>70</v>
      </c>
      <c r="X184" t="s">
        <v>177</v>
      </c>
      <c r="Y184">
        <v>1</v>
      </c>
      <c r="Z184">
        <v>0</v>
      </c>
      <c r="AA184">
        <v>0</v>
      </c>
    </row>
    <row r="185" spans="1:27" x14ac:dyDescent="0.3">
      <c r="A185" t="s">
        <v>511</v>
      </c>
      <c r="B185" s="15">
        <v>45931</v>
      </c>
      <c r="C185" t="s">
        <v>73</v>
      </c>
      <c r="D185" t="s">
        <v>55</v>
      </c>
      <c r="E185" t="s">
        <v>903</v>
      </c>
      <c r="F185" t="s">
        <v>1007</v>
      </c>
      <c r="G185" t="s">
        <v>905</v>
      </c>
      <c r="H185" t="s">
        <v>906</v>
      </c>
      <c r="I185" t="s">
        <v>138</v>
      </c>
      <c r="J185" t="s">
        <v>139</v>
      </c>
      <c r="K185" t="s">
        <v>140</v>
      </c>
      <c r="L185" t="s">
        <v>170</v>
      </c>
      <c r="M185" t="s">
        <v>512</v>
      </c>
      <c r="N185" t="s">
        <v>513</v>
      </c>
      <c r="O185" t="s">
        <v>514</v>
      </c>
      <c r="P185" t="s">
        <v>82</v>
      </c>
      <c r="Q185" t="s">
        <v>235</v>
      </c>
      <c r="R185" t="s">
        <v>236</v>
      </c>
      <c r="S185" t="s">
        <v>1008</v>
      </c>
      <c r="T185" s="15">
        <v>46566</v>
      </c>
      <c r="U185">
        <v>418</v>
      </c>
      <c r="V185">
        <v>8.4600000000000009</v>
      </c>
      <c r="W185" t="s">
        <v>70</v>
      </c>
      <c r="X185" t="s">
        <v>85</v>
      </c>
      <c r="Y185">
        <v>0</v>
      </c>
      <c r="Z185">
        <v>0</v>
      </c>
      <c r="AA185">
        <v>0</v>
      </c>
    </row>
    <row r="186" spans="1:27" x14ac:dyDescent="0.3">
      <c r="A186" t="s">
        <v>1009</v>
      </c>
      <c r="B186" s="15">
        <v>45815</v>
      </c>
      <c r="C186" t="s">
        <v>179</v>
      </c>
      <c r="D186" t="s">
        <v>55</v>
      </c>
      <c r="E186" t="s">
        <v>782</v>
      </c>
      <c r="F186" t="s">
        <v>1010</v>
      </c>
      <c r="G186" t="s">
        <v>784</v>
      </c>
      <c r="H186" t="s">
        <v>1011</v>
      </c>
      <c r="I186" t="s">
        <v>113</v>
      </c>
      <c r="J186" t="s">
        <v>786</v>
      </c>
      <c r="K186" t="s">
        <v>787</v>
      </c>
      <c r="L186" t="s">
        <v>186</v>
      </c>
      <c r="M186" t="s">
        <v>1012</v>
      </c>
      <c r="N186" t="s">
        <v>1013</v>
      </c>
      <c r="O186" t="s">
        <v>1014</v>
      </c>
      <c r="P186" t="s">
        <v>119</v>
      </c>
      <c r="Q186" t="s">
        <v>120</v>
      </c>
      <c r="R186" t="s">
        <v>121</v>
      </c>
      <c r="S186" t="s">
        <v>1015</v>
      </c>
      <c r="T186" s="15">
        <v>47480</v>
      </c>
      <c r="U186">
        <v>410</v>
      </c>
      <c r="V186">
        <v>20.5</v>
      </c>
      <c r="W186" t="s">
        <v>70</v>
      </c>
      <c r="X186" t="s">
        <v>177</v>
      </c>
      <c r="Y186">
        <v>1</v>
      </c>
      <c r="Z186">
        <v>0</v>
      </c>
      <c r="AA186">
        <v>0</v>
      </c>
    </row>
    <row r="187" spans="1:27" x14ac:dyDescent="0.3">
      <c r="A187" t="s">
        <v>1016</v>
      </c>
      <c r="B187" s="15">
        <v>45931</v>
      </c>
      <c r="C187" t="s">
        <v>497</v>
      </c>
      <c r="D187" t="s">
        <v>55</v>
      </c>
      <c r="E187" t="s">
        <v>1017</v>
      </c>
      <c r="F187" t="s">
        <v>1018</v>
      </c>
      <c r="G187" t="s">
        <v>1019</v>
      </c>
      <c r="H187" t="s">
        <v>1020</v>
      </c>
      <c r="I187" t="s">
        <v>1021</v>
      </c>
      <c r="J187" t="s">
        <v>1022</v>
      </c>
      <c r="K187" t="s">
        <v>1023</v>
      </c>
      <c r="L187" t="s">
        <v>718</v>
      </c>
      <c r="M187" t="s">
        <v>1024</v>
      </c>
      <c r="N187" t="s">
        <v>1025</v>
      </c>
      <c r="O187" t="s">
        <v>1026</v>
      </c>
      <c r="P187" t="s">
        <v>67</v>
      </c>
      <c r="Q187" t="s">
        <v>104</v>
      </c>
      <c r="R187" t="s">
        <v>105</v>
      </c>
      <c r="S187" t="s">
        <v>1027</v>
      </c>
      <c r="T187" s="15">
        <v>47177</v>
      </c>
      <c r="U187">
        <v>400</v>
      </c>
      <c r="V187">
        <v>7.3</v>
      </c>
      <c r="W187" t="s">
        <v>70</v>
      </c>
      <c r="X187" t="s">
        <v>85</v>
      </c>
      <c r="Y187">
        <v>1</v>
      </c>
      <c r="Z187">
        <v>0</v>
      </c>
      <c r="AA187">
        <v>0</v>
      </c>
    </row>
    <row r="188" spans="1:27" x14ac:dyDescent="0.3">
      <c r="A188" t="s">
        <v>1028</v>
      </c>
      <c r="B188" s="15">
        <v>45931</v>
      </c>
      <c r="C188" t="s">
        <v>503</v>
      </c>
      <c r="D188" t="s">
        <v>55</v>
      </c>
      <c r="E188" t="s">
        <v>1017</v>
      </c>
      <c r="F188" t="s">
        <v>1018</v>
      </c>
      <c r="G188" t="s">
        <v>1019</v>
      </c>
      <c r="H188" t="s">
        <v>1020</v>
      </c>
      <c r="I188" t="s">
        <v>1021</v>
      </c>
      <c r="J188" t="s">
        <v>1022</v>
      </c>
      <c r="K188" t="s">
        <v>1023</v>
      </c>
      <c r="L188" t="s">
        <v>100</v>
      </c>
      <c r="M188" t="s">
        <v>752</v>
      </c>
      <c r="N188" t="s">
        <v>753</v>
      </c>
      <c r="O188" t="s">
        <v>1029</v>
      </c>
      <c r="P188" t="s">
        <v>67</v>
      </c>
      <c r="Q188" t="s">
        <v>104</v>
      </c>
      <c r="R188" t="s">
        <v>105</v>
      </c>
      <c r="S188" t="s">
        <v>1027</v>
      </c>
      <c r="T188" s="15">
        <v>47177</v>
      </c>
      <c r="U188">
        <v>400</v>
      </c>
      <c r="V188">
        <v>7.3</v>
      </c>
      <c r="W188" t="s">
        <v>70</v>
      </c>
      <c r="X188" t="s">
        <v>85</v>
      </c>
      <c r="Y188">
        <v>1</v>
      </c>
      <c r="Z188">
        <v>0</v>
      </c>
      <c r="AA188">
        <v>0</v>
      </c>
    </row>
    <row r="189" spans="1:27" x14ac:dyDescent="0.3">
      <c r="A189" t="s">
        <v>397</v>
      </c>
      <c r="B189" s="15">
        <v>45931</v>
      </c>
      <c r="C189" t="s">
        <v>398</v>
      </c>
      <c r="D189" t="s">
        <v>55</v>
      </c>
      <c r="E189" t="s">
        <v>273</v>
      </c>
      <c r="F189" t="s">
        <v>274</v>
      </c>
      <c r="G189" t="s">
        <v>275</v>
      </c>
      <c r="H189" t="s">
        <v>276</v>
      </c>
      <c r="I189" t="s">
        <v>277</v>
      </c>
      <c r="J189" t="s">
        <v>278</v>
      </c>
      <c r="K189" t="s">
        <v>279</v>
      </c>
      <c r="L189" t="s">
        <v>170</v>
      </c>
      <c r="M189" t="s">
        <v>171</v>
      </c>
      <c r="N189" t="s">
        <v>172</v>
      </c>
      <c r="O189" t="s">
        <v>399</v>
      </c>
      <c r="P189" t="s">
        <v>82</v>
      </c>
      <c r="Q189" t="s">
        <v>281</v>
      </c>
      <c r="R189" t="s">
        <v>282</v>
      </c>
      <c r="S189" t="s">
        <v>283</v>
      </c>
      <c r="T189" s="15">
        <v>46082</v>
      </c>
      <c r="U189">
        <v>400</v>
      </c>
      <c r="V189">
        <v>0.4</v>
      </c>
      <c r="W189" t="s">
        <v>70</v>
      </c>
      <c r="X189" t="s">
        <v>85</v>
      </c>
      <c r="Y189">
        <v>1</v>
      </c>
      <c r="Z189">
        <v>1</v>
      </c>
      <c r="AA189">
        <v>0</v>
      </c>
    </row>
    <row r="190" spans="1:27" x14ac:dyDescent="0.3">
      <c r="A190" t="s">
        <v>142</v>
      </c>
      <c r="B190" s="15">
        <v>45931</v>
      </c>
      <c r="C190" t="s">
        <v>93</v>
      </c>
      <c r="D190" t="s">
        <v>55</v>
      </c>
      <c r="E190" t="s">
        <v>1030</v>
      </c>
      <c r="F190" t="s">
        <v>1031</v>
      </c>
      <c r="G190" t="s">
        <v>1032</v>
      </c>
      <c r="H190" t="s">
        <v>1033</v>
      </c>
      <c r="I190" t="s">
        <v>1034</v>
      </c>
      <c r="J190" t="s">
        <v>527</v>
      </c>
      <c r="K190" t="s">
        <v>528</v>
      </c>
      <c r="L190" t="s">
        <v>87</v>
      </c>
      <c r="M190" t="s">
        <v>88</v>
      </c>
      <c r="N190" t="s">
        <v>89</v>
      </c>
      <c r="O190" t="s">
        <v>150</v>
      </c>
      <c r="P190" t="s">
        <v>82</v>
      </c>
      <c r="Q190" t="s">
        <v>665</v>
      </c>
      <c r="R190" t="s">
        <v>666</v>
      </c>
      <c r="S190" t="s">
        <v>1035</v>
      </c>
      <c r="T190" s="15">
        <v>47389</v>
      </c>
      <c r="U190">
        <v>400</v>
      </c>
      <c r="V190">
        <v>1.49</v>
      </c>
      <c r="W190" t="s">
        <v>70</v>
      </c>
      <c r="X190" t="s">
        <v>85</v>
      </c>
      <c r="Y190">
        <v>1</v>
      </c>
      <c r="Z190">
        <v>0</v>
      </c>
      <c r="AA190">
        <v>0</v>
      </c>
    </row>
    <row r="191" spans="1:27" x14ac:dyDescent="0.3">
      <c r="A191" t="s">
        <v>72</v>
      </c>
      <c r="B191" s="15">
        <v>45931</v>
      </c>
      <c r="C191" t="s">
        <v>73</v>
      </c>
      <c r="D191" t="s">
        <v>55</v>
      </c>
      <c r="E191" t="s">
        <v>1036</v>
      </c>
      <c r="F191" t="s">
        <v>1037</v>
      </c>
      <c r="G191" t="s">
        <v>1038</v>
      </c>
      <c r="H191" t="s">
        <v>1039</v>
      </c>
      <c r="I191" t="s">
        <v>254</v>
      </c>
      <c r="J191" t="s">
        <v>139</v>
      </c>
      <c r="K191" t="s">
        <v>140</v>
      </c>
      <c r="L191" t="s">
        <v>63</v>
      </c>
      <c r="M191" t="s">
        <v>64</v>
      </c>
      <c r="N191" t="s">
        <v>65</v>
      </c>
      <c r="O191" t="s">
        <v>81</v>
      </c>
      <c r="P191" t="s">
        <v>82</v>
      </c>
      <c r="Q191" t="s">
        <v>1040</v>
      </c>
      <c r="R191" t="s">
        <v>1041</v>
      </c>
      <c r="S191" t="s">
        <v>1042</v>
      </c>
      <c r="T191" s="15">
        <v>46446</v>
      </c>
      <c r="U191">
        <v>400</v>
      </c>
      <c r="V191">
        <v>8.2899999999999991</v>
      </c>
      <c r="W191" t="s">
        <v>70</v>
      </c>
      <c r="X191" t="s">
        <v>85</v>
      </c>
      <c r="Y191">
        <v>1</v>
      </c>
      <c r="Z191">
        <v>0</v>
      </c>
      <c r="AA191">
        <v>0</v>
      </c>
    </row>
    <row r="192" spans="1:27" x14ac:dyDescent="0.3">
      <c r="A192" t="s">
        <v>86</v>
      </c>
      <c r="B192" s="15">
        <v>45931</v>
      </c>
      <c r="C192" t="s">
        <v>93</v>
      </c>
      <c r="D192" t="s">
        <v>55</v>
      </c>
      <c r="E192" t="s">
        <v>1036</v>
      </c>
      <c r="F192" t="s">
        <v>1037</v>
      </c>
      <c r="G192" t="s">
        <v>1038</v>
      </c>
      <c r="H192" t="s">
        <v>1039</v>
      </c>
      <c r="I192" t="s">
        <v>254</v>
      </c>
      <c r="J192" t="s">
        <v>139</v>
      </c>
      <c r="K192" t="s">
        <v>140</v>
      </c>
      <c r="L192" t="s">
        <v>87</v>
      </c>
      <c r="M192" t="s">
        <v>88</v>
      </c>
      <c r="N192" t="s">
        <v>89</v>
      </c>
      <c r="O192" t="s">
        <v>90</v>
      </c>
      <c r="P192" t="s">
        <v>82</v>
      </c>
      <c r="Q192" t="s">
        <v>1040</v>
      </c>
      <c r="R192" t="s">
        <v>1041</v>
      </c>
      <c r="S192" t="s">
        <v>1042</v>
      </c>
      <c r="T192" s="15">
        <v>46446</v>
      </c>
      <c r="U192">
        <v>400</v>
      </c>
      <c r="V192">
        <v>8.2899999999999991</v>
      </c>
      <c r="W192" t="s">
        <v>70</v>
      </c>
      <c r="X192" t="s">
        <v>85</v>
      </c>
      <c r="Y192">
        <v>1</v>
      </c>
      <c r="Z192">
        <v>0</v>
      </c>
      <c r="AA192">
        <v>0</v>
      </c>
    </row>
    <row r="193" spans="1:27" x14ac:dyDescent="0.3">
      <c r="A193" t="s">
        <v>496</v>
      </c>
      <c r="B193" s="15">
        <v>45931</v>
      </c>
      <c r="C193" t="s">
        <v>497</v>
      </c>
      <c r="D193" t="s">
        <v>55</v>
      </c>
      <c r="E193" t="s">
        <v>293</v>
      </c>
      <c r="F193" t="s">
        <v>1043</v>
      </c>
      <c r="G193" t="s">
        <v>295</v>
      </c>
      <c r="H193" t="s">
        <v>296</v>
      </c>
      <c r="I193" t="s">
        <v>128</v>
      </c>
      <c r="J193" t="s">
        <v>129</v>
      </c>
      <c r="K193" t="s">
        <v>130</v>
      </c>
      <c r="L193" t="s">
        <v>498</v>
      </c>
      <c r="M193" t="s">
        <v>499</v>
      </c>
      <c r="N193" t="s">
        <v>500</v>
      </c>
      <c r="O193" t="s">
        <v>501</v>
      </c>
      <c r="P193" t="s">
        <v>82</v>
      </c>
      <c r="Q193" t="s">
        <v>297</v>
      </c>
      <c r="R193" t="s">
        <v>298</v>
      </c>
      <c r="S193" t="s">
        <v>1044</v>
      </c>
      <c r="T193" s="15">
        <v>46323</v>
      </c>
      <c r="U193">
        <v>400</v>
      </c>
      <c r="V193">
        <v>20.63</v>
      </c>
      <c r="W193" t="s">
        <v>70</v>
      </c>
      <c r="X193" t="s">
        <v>85</v>
      </c>
      <c r="Y193">
        <v>1</v>
      </c>
      <c r="Z193">
        <v>0</v>
      </c>
      <c r="AA193">
        <v>0</v>
      </c>
    </row>
    <row r="194" spans="1:27" x14ac:dyDescent="0.3">
      <c r="A194" t="s">
        <v>507</v>
      </c>
      <c r="B194" s="15">
        <v>45931</v>
      </c>
      <c r="C194" t="s">
        <v>497</v>
      </c>
      <c r="D194" t="s">
        <v>55</v>
      </c>
      <c r="E194" t="s">
        <v>293</v>
      </c>
      <c r="F194" t="s">
        <v>1043</v>
      </c>
      <c r="G194" t="s">
        <v>295</v>
      </c>
      <c r="H194" t="s">
        <v>296</v>
      </c>
      <c r="I194" t="s">
        <v>128</v>
      </c>
      <c r="J194" t="s">
        <v>129</v>
      </c>
      <c r="K194" t="s">
        <v>130</v>
      </c>
      <c r="L194" t="s">
        <v>170</v>
      </c>
      <c r="M194" t="s">
        <v>508</v>
      </c>
      <c r="N194" t="s">
        <v>509</v>
      </c>
      <c r="O194" t="s">
        <v>510</v>
      </c>
      <c r="P194" t="s">
        <v>82</v>
      </c>
      <c r="Q194" t="s">
        <v>297</v>
      </c>
      <c r="R194" t="s">
        <v>298</v>
      </c>
      <c r="S194" t="s">
        <v>1044</v>
      </c>
      <c r="T194" s="15">
        <v>46323</v>
      </c>
      <c r="U194">
        <v>400</v>
      </c>
      <c r="V194">
        <v>20.63</v>
      </c>
      <c r="W194" t="s">
        <v>70</v>
      </c>
      <c r="X194" t="s">
        <v>85</v>
      </c>
      <c r="Y194">
        <v>1</v>
      </c>
      <c r="Z194">
        <v>0</v>
      </c>
      <c r="AA194">
        <v>0</v>
      </c>
    </row>
    <row r="195" spans="1:27" x14ac:dyDescent="0.3">
      <c r="A195" t="s">
        <v>502</v>
      </c>
      <c r="B195" s="15">
        <v>45931</v>
      </c>
      <c r="C195" t="s">
        <v>503</v>
      </c>
      <c r="D195" t="s">
        <v>55</v>
      </c>
      <c r="E195" t="s">
        <v>293</v>
      </c>
      <c r="F195" t="s">
        <v>1043</v>
      </c>
      <c r="G195" t="s">
        <v>295</v>
      </c>
      <c r="H195" t="s">
        <v>296</v>
      </c>
      <c r="I195" t="s">
        <v>128</v>
      </c>
      <c r="J195" t="s">
        <v>129</v>
      </c>
      <c r="K195" t="s">
        <v>130</v>
      </c>
      <c r="L195" t="s">
        <v>186</v>
      </c>
      <c r="M195" t="s">
        <v>504</v>
      </c>
      <c r="N195" t="s">
        <v>505</v>
      </c>
      <c r="O195" t="s">
        <v>506</v>
      </c>
      <c r="P195" t="s">
        <v>82</v>
      </c>
      <c r="Q195" t="s">
        <v>297</v>
      </c>
      <c r="R195" t="s">
        <v>298</v>
      </c>
      <c r="S195" t="s">
        <v>1044</v>
      </c>
      <c r="T195" s="15">
        <v>46323</v>
      </c>
      <c r="U195">
        <v>400</v>
      </c>
      <c r="V195">
        <v>20.63</v>
      </c>
      <c r="W195" t="s">
        <v>70</v>
      </c>
      <c r="X195" t="s">
        <v>85</v>
      </c>
      <c r="Y195">
        <v>1</v>
      </c>
      <c r="Z195">
        <v>0</v>
      </c>
      <c r="AA195">
        <v>0</v>
      </c>
    </row>
    <row r="196" spans="1:27" x14ac:dyDescent="0.3">
      <c r="A196" t="s">
        <v>511</v>
      </c>
      <c r="B196" s="15">
        <v>45931</v>
      </c>
      <c r="C196" t="s">
        <v>73</v>
      </c>
      <c r="D196" t="s">
        <v>55</v>
      </c>
      <c r="E196" t="s">
        <v>293</v>
      </c>
      <c r="F196" t="s">
        <v>1043</v>
      </c>
      <c r="G196" t="s">
        <v>295</v>
      </c>
      <c r="H196" t="s">
        <v>296</v>
      </c>
      <c r="I196" t="s">
        <v>128</v>
      </c>
      <c r="J196" t="s">
        <v>129</v>
      </c>
      <c r="K196" t="s">
        <v>130</v>
      </c>
      <c r="L196" t="s">
        <v>170</v>
      </c>
      <c r="M196" t="s">
        <v>512</v>
      </c>
      <c r="N196" t="s">
        <v>513</v>
      </c>
      <c r="O196" t="s">
        <v>514</v>
      </c>
      <c r="P196" t="s">
        <v>82</v>
      </c>
      <c r="Q196" t="s">
        <v>297</v>
      </c>
      <c r="R196" t="s">
        <v>298</v>
      </c>
      <c r="S196" t="s">
        <v>1044</v>
      </c>
      <c r="T196" s="15">
        <v>46323</v>
      </c>
      <c r="U196">
        <v>400</v>
      </c>
      <c r="V196">
        <v>20.63</v>
      </c>
      <c r="W196" t="s">
        <v>70</v>
      </c>
      <c r="X196" t="s">
        <v>85</v>
      </c>
      <c r="Y196">
        <v>1</v>
      </c>
      <c r="Z196">
        <v>0</v>
      </c>
      <c r="AA196">
        <v>0</v>
      </c>
    </row>
    <row r="197" spans="1:27" x14ac:dyDescent="0.3">
      <c r="A197" t="s">
        <v>717</v>
      </c>
      <c r="B197" s="15">
        <v>45931</v>
      </c>
      <c r="C197" t="s">
        <v>272</v>
      </c>
      <c r="D197" t="s">
        <v>55</v>
      </c>
      <c r="E197" t="s">
        <v>293</v>
      </c>
      <c r="F197" t="s">
        <v>1043</v>
      </c>
      <c r="G197" t="s">
        <v>295</v>
      </c>
      <c r="H197" t="s">
        <v>296</v>
      </c>
      <c r="I197" t="s">
        <v>128</v>
      </c>
      <c r="J197" t="s">
        <v>129</v>
      </c>
      <c r="K197" t="s">
        <v>130</v>
      </c>
      <c r="L197" t="s">
        <v>718</v>
      </c>
      <c r="M197" t="s">
        <v>719</v>
      </c>
      <c r="N197" t="s">
        <v>720</v>
      </c>
      <c r="O197" t="s">
        <v>721</v>
      </c>
      <c r="P197" t="s">
        <v>82</v>
      </c>
      <c r="Q197" t="s">
        <v>297</v>
      </c>
      <c r="R197" t="s">
        <v>298</v>
      </c>
      <c r="S197" t="s">
        <v>1044</v>
      </c>
      <c r="T197" s="15">
        <v>46323</v>
      </c>
      <c r="U197">
        <v>400</v>
      </c>
      <c r="V197">
        <v>20.63</v>
      </c>
      <c r="W197" t="s">
        <v>70</v>
      </c>
      <c r="X197" t="s">
        <v>85</v>
      </c>
      <c r="Y197">
        <v>1</v>
      </c>
      <c r="Z197">
        <v>0</v>
      </c>
      <c r="AA197">
        <v>0</v>
      </c>
    </row>
    <row r="198" spans="1:27" x14ac:dyDescent="0.3">
      <c r="A198" t="s">
        <v>1045</v>
      </c>
      <c r="B198" s="15">
        <v>45931</v>
      </c>
      <c r="C198" t="s">
        <v>54</v>
      </c>
      <c r="D198" t="s">
        <v>55</v>
      </c>
      <c r="E198" t="s">
        <v>1046</v>
      </c>
      <c r="F198" t="s">
        <v>1047</v>
      </c>
      <c r="G198" t="s">
        <v>1048</v>
      </c>
      <c r="H198" t="s">
        <v>1049</v>
      </c>
      <c r="I198" t="s">
        <v>1050</v>
      </c>
      <c r="J198" t="s">
        <v>1051</v>
      </c>
      <c r="K198" t="s">
        <v>1052</v>
      </c>
      <c r="L198" t="s">
        <v>186</v>
      </c>
      <c r="M198" t="s">
        <v>1053</v>
      </c>
      <c r="N198" t="s">
        <v>1054</v>
      </c>
      <c r="O198" t="s">
        <v>1055</v>
      </c>
      <c r="P198" t="s">
        <v>82</v>
      </c>
      <c r="Q198" t="s">
        <v>1056</v>
      </c>
      <c r="R198" t="s">
        <v>1057</v>
      </c>
      <c r="S198" t="s">
        <v>1058</v>
      </c>
      <c r="T198" s="15">
        <v>46446</v>
      </c>
      <c r="U198">
        <v>400</v>
      </c>
      <c r="V198">
        <v>7.59</v>
      </c>
      <c r="W198" t="s">
        <v>70</v>
      </c>
      <c r="X198" t="s">
        <v>85</v>
      </c>
      <c r="Y198">
        <v>1</v>
      </c>
      <c r="Z198">
        <v>0</v>
      </c>
      <c r="AA198">
        <v>0</v>
      </c>
    </row>
    <row r="199" spans="1:27" x14ac:dyDescent="0.3">
      <c r="A199" t="s">
        <v>1059</v>
      </c>
      <c r="B199" s="15">
        <v>45918</v>
      </c>
      <c r="C199" t="s">
        <v>95</v>
      </c>
      <c r="D199" t="s">
        <v>55</v>
      </c>
      <c r="E199" t="s">
        <v>340</v>
      </c>
      <c r="F199" t="s">
        <v>1060</v>
      </c>
      <c r="G199" t="s">
        <v>342</v>
      </c>
      <c r="H199" t="s">
        <v>1061</v>
      </c>
      <c r="I199" t="s">
        <v>211</v>
      </c>
      <c r="J199" t="s">
        <v>212</v>
      </c>
      <c r="K199" t="s">
        <v>213</v>
      </c>
      <c r="L199" t="s">
        <v>63</v>
      </c>
      <c r="M199" t="s">
        <v>116</v>
      </c>
      <c r="N199" t="s">
        <v>117</v>
      </c>
      <c r="O199" t="s">
        <v>1062</v>
      </c>
      <c r="P199" t="s">
        <v>119</v>
      </c>
      <c r="Q199" t="s">
        <v>336</v>
      </c>
      <c r="R199" t="s">
        <v>337</v>
      </c>
      <c r="S199" t="s">
        <v>1063</v>
      </c>
      <c r="T199" s="15">
        <v>47358</v>
      </c>
      <c r="U199">
        <v>400</v>
      </c>
      <c r="V199">
        <v>15</v>
      </c>
      <c r="W199" t="s">
        <v>70</v>
      </c>
      <c r="X199" t="s">
        <v>71</v>
      </c>
      <c r="Y199">
        <v>1</v>
      </c>
      <c r="Z199">
        <v>0</v>
      </c>
      <c r="AA199">
        <v>0</v>
      </c>
    </row>
    <row r="200" spans="1:27" x14ac:dyDescent="0.3">
      <c r="A200" t="s">
        <v>1064</v>
      </c>
      <c r="B200" s="15">
        <v>45842</v>
      </c>
      <c r="C200" t="s">
        <v>93</v>
      </c>
      <c r="D200" t="s">
        <v>55</v>
      </c>
      <c r="E200" t="s">
        <v>1065</v>
      </c>
      <c r="F200" t="s">
        <v>1066</v>
      </c>
      <c r="G200" t="s">
        <v>1067</v>
      </c>
      <c r="H200" t="s">
        <v>1068</v>
      </c>
      <c r="I200" t="s">
        <v>247</v>
      </c>
      <c r="J200" t="s">
        <v>129</v>
      </c>
      <c r="K200" t="s">
        <v>130</v>
      </c>
      <c r="L200" t="s">
        <v>100</v>
      </c>
      <c r="M200" t="s">
        <v>101</v>
      </c>
      <c r="N200" t="s">
        <v>102</v>
      </c>
      <c r="O200" t="s">
        <v>1069</v>
      </c>
      <c r="P200" t="s">
        <v>67</v>
      </c>
      <c r="Q200" t="s">
        <v>131</v>
      </c>
      <c r="R200" t="s">
        <v>132</v>
      </c>
      <c r="S200" t="s">
        <v>1070</v>
      </c>
      <c r="T200" s="15">
        <v>46293</v>
      </c>
      <c r="U200">
        <v>396</v>
      </c>
      <c r="V200">
        <v>10.66</v>
      </c>
      <c r="W200" t="s">
        <v>70</v>
      </c>
      <c r="X200" t="s">
        <v>107</v>
      </c>
      <c r="Y200">
        <v>0</v>
      </c>
      <c r="Z200">
        <v>0</v>
      </c>
      <c r="AA200">
        <v>0</v>
      </c>
    </row>
    <row r="201" spans="1:27" x14ac:dyDescent="0.3">
      <c r="A201" t="s">
        <v>86</v>
      </c>
      <c r="B201" s="15">
        <v>45931</v>
      </c>
      <c r="C201" t="s">
        <v>93</v>
      </c>
      <c r="D201" t="s">
        <v>55</v>
      </c>
      <c r="E201" t="s">
        <v>313</v>
      </c>
      <c r="F201" t="s">
        <v>1071</v>
      </c>
      <c r="G201" t="s">
        <v>315</v>
      </c>
      <c r="H201" t="s">
        <v>1072</v>
      </c>
      <c r="I201" t="s">
        <v>128</v>
      </c>
      <c r="J201" t="s">
        <v>129</v>
      </c>
      <c r="K201" t="s">
        <v>130</v>
      </c>
      <c r="L201" t="s">
        <v>87</v>
      </c>
      <c r="M201" t="s">
        <v>88</v>
      </c>
      <c r="N201" t="s">
        <v>89</v>
      </c>
      <c r="O201" t="s">
        <v>90</v>
      </c>
      <c r="P201" t="s">
        <v>82</v>
      </c>
      <c r="Q201" t="s">
        <v>317</v>
      </c>
      <c r="R201" t="s">
        <v>318</v>
      </c>
      <c r="S201" t="s">
        <v>1073</v>
      </c>
      <c r="T201" s="15">
        <v>46505</v>
      </c>
      <c r="U201">
        <v>396</v>
      </c>
      <c r="V201">
        <v>10.06</v>
      </c>
      <c r="W201" t="s">
        <v>70</v>
      </c>
      <c r="X201" t="s">
        <v>85</v>
      </c>
      <c r="Y201">
        <v>1</v>
      </c>
      <c r="Z201">
        <v>0</v>
      </c>
      <c r="AA201">
        <v>0</v>
      </c>
    </row>
    <row r="202" spans="1:27" x14ac:dyDescent="0.3">
      <c r="A202" t="s">
        <v>708</v>
      </c>
      <c r="B202" s="15">
        <v>45815</v>
      </c>
      <c r="C202" t="s">
        <v>497</v>
      </c>
      <c r="D202" t="s">
        <v>55</v>
      </c>
      <c r="E202" t="s">
        <v>755</v>
      </c>
      <c r="F202" t="s">
        <v>756</v>
      </c>
      <c r="G202" t="s">
        <v>757</v>
      </c>
      <c r="H202" t="s">
        <v>758</v>
      </c>
      <c r="I202" t="s">
        <v>759</v>
      </c>
      <c r="J202" t="s">
        <v>760</v>
      </c>
      <c r="K202" t="s">
        <v>761</v>
      </c>
      <c r="L202" t="s">
        <v>186</v>
      </c>
      <c r="M202" t="s">
        <v>713</v>
      </c>
      <c r="N202" t="s">
        <v>714</v>
      </c>
      <c r="O202" t="s">
        <v>715</v>
      </c>
      <c r="P202" t="s">
        <v>82</v>
      </c>
      <c r="Q202" t="s">
        <v>762</v>
      </c>
      <c r="R202" t="s">
        <v>763</v>
      </c>
      <c r="S202" t="s">
        <v>764</v>
      </c>
      <c r="T202" s="15">
        <v>46474</v>
      </c>
      <c r="U202">
        <v>395</v>
      </c>
      <c r="V202">
        <v>10.37</v>
      </c>
      <c r="W202" t="s">
        <v>70</v>
      </c>
      <c r="X202" t="s">
        <v>177</v>
      </c>
      <c r="Y202">
        <v>1</v>
      </c>
      <c r="Z202">
        <v>0</v>
      </c>
      <c r="AA202">
        <v>0</v>
      </c>
    </row>
    <row r="203" spans="1:27" x14ac:dyDescent="0.3">
      <c r="A203" t="s">
        <v>1074</v>
      </c>
      <c r="B203" s="15">
        <v>45842</v>
      </c>
      <c r="C203" t="s">
        <v>497</v>
      </c>
      <c r="D203" t="s">
        <v>55</v>
      </c>
      <c r="E203" t="s">
        <v>1075</v>
      </c>
      <c r="F203" t="s">
        <v>1076</v>
      </c>
      <c r="G203" t="s">
        <v>1077</v>
      </c>
      <c r="H203" t="s">
        <v>1078</v>
      </c>
      <c r="I203" t="s">
        <v>113</v>
      </c>
      <c r="J203" t="s">
        <v>114</v>
      </c>
      <c r="K203" t="s">
        <v>115</v>
      </c>
      <c r="L203" t="s">
        <v>87</v>
      </c>
      <c r="M203" t="s">
        <v>601</v>
      </c>
      <c r="N203" t="s">
        <v>602</v>
      </c>
      <c r="O203" t="s">
        <v>1079</v>
      </c>
      <c r="P203" t="s">
        <v>119</v>
      </c>
      <c r="Q203" t="s">
        <v>1056</v>
      </c>
      <c r="R203" t="s">
        <v>1057</v>
      </c>
      <c r="S203" t="s">
        <v>1080</v>
      </c>
      <c r="T203" s="15">
        <v>46231</v>
      </c>
      <c r="U203">
        <v>393</v>
      </c>
      <c r="V203">
        <v>13.79</v>
      </c>
      <c r="W203" t="s">
        <v>70</v>
      </c>
      <c r="X203" t="s">
        <v>107</v>
      </c>
      <c r="Y203">
        <v>1</v>
      </c>
      <c r="Z203">
        <v>0</v>
      </c>
      <c r="AA203">
        <v>0</v>
      </c>
    </row>
    <row r="204" spans="1:27" x14ac:dyDescent="0.3">
      <c r="A204" t="s">
        <v>72</v>
      </c>
      <c r="B204" s="15">
        <v>45931</v>
      </c>
      <c r="C204" t="s">
        <v>73</v>
      </c>
      <c r="D204" t="s">
        <v>55</v>
      </c>
      <c r="E204" t="s">
        <v>1081</v>
      </c>
      <c r="F204" t="s">
        <v>1082</v>
      </c>
      <c r="G204" t="s">
        <v>1083</v>
      </c>
      <c r="H204" t="s">
        <v>1084</v>
      </c>
      <c r="I204" t="s">
        <v>254</v>
      </c>
      <c r="J204" t="s">
        <v>139</v>
      </c>
      <c r="K204" t="s">
        <v>140</v>
      </c>
      <c r="L204" t="s">
        <v>63</v>
      </c>
      <c r="M204" t="s">
        <v>64</v>
      </c>
      <c r="N204" t="s">
        <v>65</v>
      </c>
      <c r="O204" t="s">
        <v>81</v>
      </c>
      <c r="P204" t="s">
        <v>82</v>
      </c>
      <c r="Q204" t="s">
        <v>450</v>
      </c>
      <c r="R204" t="s">
        <v>451</v>
      </c>
      <c r="S204" t="s">
        <v>1085</v>
      </c>
      <c r="T204" s="15">
        <v>46170</v>
      </c>
      <c r="U204">
        <v>392</v>
      </c>
      <c r="V204">
        <v>19.37</v>
      </c>
      <c r="W204" t="s">
        <v>70</v>
      </c>
      <c r="X204" t="s">
        <v>85</v>
      </c>
      <c r="Y204">
        <v>1</v>
      </c>
      <c r="Z204">
        <v>0</v>
      </c>
      <c r="AA204">
        <v>0</v>
      </c>
    </row>
    <row r="205" spans="1:27" x14ac:dyDescent="0.3">
      <c r="A205" t="s">
        <v>307</v>
      </c>
      <c r="B205" s="15">
        <v>45842</v>
      </c>
      <c r="C205" t="s">
        <v>272</v>
      </c>
      <c r="D205" t="s">
        <v>55</v>
      </c>
      <c r="E205" t="s">
        <v>1086</v>
      </c>
      <c r="F205" t="s">
        <v>1087</v>
      </c>
      <c r="G205" t="s">
        <v>1088</v>
      </c>
      <c r="H205" t="s">
        <v>1089</v>
      </c>
      <c r="I205" t="s">
        <v>1021</v>
      </c>
      <c r="J205" t="s">
        <v>1022</v>
      </c>
      <c r="K205" t="s">
        <v>1023</v>
      </c>
      <c r="L205" t="s">
        <v>170</v>
      </c>
      <c r="M205" t="s">
        <v>171</v>
      </c>
      <c r="N205" t="s">
        <v>172</v>
      </c>
      <c r="O205" t="s">
        <v>312</v>
      </c>
      <c r="P205" t="s">
        <v>67</v>
      </c>
      <c r="Q205" t="s">
        <v>1090</v>
      </c>
      <c r="R205" t="s">
        <v>1091</v>
      </c>
      <c r="S205" t="s">
        <v>1092</v>
      </c>
      <c r="T205" s="15">
        <v>47054</v>
      </c>
      <c r="U205">
        <v>388</v>
      </c>
      <c r="V205">
        <v>50</v>
      </c>
      <c r="W205" t="s">
        <v>70</v>
      </c>
      <c r="X205" t="s">
        <v>107</v>
      </c>
      <c r="Y205">
        <v>1</v>
      </c>
      <c r="Z205">
        <v>1</v>
      </c>
      <c r="AA205">
        <v>0</v>
      </c>
    </row>
    <row r="206" spans="1:27" x14ac:dyDescent="0.3">
      <c r="A206" t="s">
        <v>238</v>
      </c>
      <c r="B206" s="15">
        <v>45931</v>
      </c>
      <c r="C206" t="s">
        <v>179</v>
      </c>
      <c r="D206" t="s">
        <v>55</v>
      </c>
      <c r="E206" t="s">
        <v>539</v>
      </c>
      <c r="F206" t="s">
        <v>540</v>
      </c>
      <c r="G206" t="s">
        <v>541</v>
      </c>
      <c r="H206" t="s">
        <v>542</v>
      </c>
      <c r="I206" t="s">
        <v>543</v>
      </c>
      <c r="J206" t="s">
        <v>544</v>
      </c>
      <c r="K206" t="s">
        <v>545</v>
      </c>
      <c r="L206" t="s">
        <v>186</v>
      </c>
      <c r="M206" t="s">
        <v>239</v>
      </c>
      <c r="N206" t="s">
        <v>240</v>
      </c>
      <c r="O206" t="s">
        <v>241</v>
      </c>
      <c r="P206" t="s">
        <v>82</v>
      </c>
      <c r="Q206" t="s">
        <v>546</v>
      </c>
      <c r="R206" t="s">
        <v>547</v>
      </c>
      <c r="S206" t="s">
        <v>548</v>
      </c>
      <c r="T206" s="15">
        <v>47297</v>
      </c>
      <c r="U206">
        <v>388</v>
      </c>
      <c r="V206">
        <v>2.7</v>
      </c>
      <c r="W206" t="s">
        <v>70</v>
      </c>
      <c r="X206" t="s">
        <v>85</v>
      </c>
      <c r="Y206">
        <v>1</v>
      </c>
      <c r="Z206">
        <v>0</v>
      </c>
      <c r="AA206">
        <v>0</v>
      </c>
    </row>
    <row r="207" spans="1:27" x14ac:dyDescent="0.3">
      <c r="A207" t="s">
        <v>355</v>
      </c>
      <c r="B207" s="15">
        <v>45842</v>
      </c>
      <c r="C207" t="s">
        <v>93</v>
      </c>
      <c r="D207" t="s">
        <v>55</v>
      </c>
      <c r="E207" t="s">
        <v>1093</v>
      </c>
      <c r="F207" t="s">
        <v>1094</v>
      </c>
      <c r="G207" t="s">
        <v>1095</v>
      </c>
      <c r="H207" t="s">
        <v>1096</v>
      </c>
      <c r="I207" t="s">
        <v>254</v>
      </c>
      <c r="J207" t="s">
        <v>139</v>
      </c>
      <c r="K207" t="s">
        <v>140</v>
      </c>
      <c r="L207" t="s">
        <v>100</v>
      </c>
      <c r="M207" t="s">
        <v>101</v>
      </c>
      <c r="N207" t="s">
        <v>102</v>
      </c>
      <c r="O207" t="s">
        <v>360</v>
      </c>
      <c r="P207" t="s">
        <v>82</v>
      </c>
      <c r="Q207" t="s">
        <v>1097</v>
      </c>
      <c r="R207" t="s">
        <v>1098</v>
      </c>
      <c r="S207" t="s">
        <v>1099</v>
      </c>
      <c r="T207" s="15">
        <v>46354</v>
      </c>
      <c r="U207">
        <v>383</v>
      </c>
      <c r="V207">
        <v>27</v>
      </c>
      <c r="W207" t="s">
        <v>70</v>
      </c>
      <c r="X207" t="s">
        <v>107</v>
      </c>
      <c r="Y207">
        <v>1</v>
      </c>
      <c r="Z207">
        <v>0</v>
      </c>
      <c r="AA207">
        <v>0</v>
      </c>
    </row>
    <row r="208" spans="1:27" x14ac:dyDescent="0.3">
      <c r="A208" t="s">
        <v>596</v>
      </c>
      <c r="B208" s="15">
        <v>45842</v>
      </c>
      <c r="C208" t="s">
        <v>497</v>
      </c>
      <c r="D208" t="s">
        <v>55</v>
      </c>
      <c r="E208" t="s">
        <v>1100</v>
      </c>
      <c r="F208" t="s">
        <v>1101</v>
      </c>
      <c r="G208" t="s">
        <v>1102</v>
      </c>
      <c r="H208" t="s">
        <v>1103</v>
      </c>
      <c r="I208" t="s">
        <v>1104</v>
      </c>
      <c r="J208" t="s">
        <v>1105</v>
      </c>
      <c r="K208" t="s">
        <v>1106</v>
      </c>
      <c r="L208" t="s">
        <v>87</v>
      </c>
      <c r="M208" t="s">
        <v>601</v>
      </c>
      <c r="N208" t="s">
        <v>602</v>
      </c>
      <c r="O208" t="s">
        <v>603</v>
      </c>
      <c r="P208" t="s">
        <v>82</v>
      </c>
      <c r="Q208" t="s">
        <v>1107</v>
      </c>
      <c r="R208" t="s">
        <v>1108</v>
      </c>
      <c r="S208" t="s">
        <v>1109</v>
      </c>
      <c r="T208" s="15">
        <v>46505</v>
      </c>
      <c r="U208">
        <v>382</v>
      </c>
      <c r="V208">
        <v>4.5</v>
      </c>
      <c r="W208" t="s">
        <v>70</v>
      </c>
      <c r="X208" t="s">
        <v>107</v>
      </c>
      <c r="Y208">
        <v>1</v>
      </c>
      <c r="Z208">
        <v>0</v>
      </c>
      <c r="AA208">
        <v>0</v>
      </c>
    </row>
    <row r="209" spans="1:27" x14ac:dyDescent="0.3">
      <c r="A209" t="s">
        <v>339</v>
      </c>
      <c r="B209" s="15">
        <v>45815</v>
      </c>
      <c r="C209" t="s">
        <v>95</v>
      </c>
      <c r="D209" t="s">
        <v>55</v>
      </c>
      <c r="E209" t="s">
        <v>515</v>
      </c>
      <c r="F209" t="s">
        <v>1110</v>
      </c>
      <c r="G209" t="s">
        <v>517</v>
      </c>
      <c r="H209" t="s">
        <v>1111</v>
      </c>
      <c r="I209" t="s">
        <v>113</v>
      </c>
      <c r="J209" t="s">
        <v>519</v>
      </c>
      <c r="K209" t="s">
        <v>520</v>
      </c>
      <c r="L209" t="s">
        <v>170</v>
      </c>
      <c r="M209" t="s">
        <v>171</v>
      </c>
      <c r="N209" t="s">
        <v>172</v>
      </c>
      <c r="O209" t="s">
        <v>344</v>
      </c>
      <c r="P209" t="s">
        <v>119</v>
      </c>
      <c r="Q209" t="s">
        <v>1112</v>
      </c>
      <c r="R209" t="s">
        <v>1113</v>
      </c>
      <c r="S209" t="s">
        <v>1114</v>
      </c>
      <c r="T209" s="15">
        <v>47542</v>
      </c>
      <c r="U209">
        <v>376</v>
      </c>
      <c r="V209">
        <v>159.08000000000001</v>
      </c>
      <c r="W209" t="s">
        <v>70</v>
      </c>
      <c r="X209" t="s">
        <v>177</v>
      </c>
      <c r="Y209">
        <v>0</v>
      </c>
      <c r="Z209">
        <v>0</v>
      </c>
      <c r="AA209">
        <v>0</v>
      </c>
    </row>
    <row r="210" spans="1:27" x14ac:dyDescent="0.3">
      <c r="A210" t="s">
        <v>238</v>
      </c>
      <c r="B210" s="15">
        <v>45931</v>
      </c>
      <c r="C210" t="s">
        <v>179</v>
      </c>
      <c r="D210" t="s">
        <v>55</v>
      </c>
      <c r="E210" t="s">
        <v>558</v>
      </c>
      <c r="F210" t="s">
        <v>559</v>
      </c>
      <c r="G210" t="s">
        <v>560</v>
      </c>
      <c r="H210" t="s">
        <v>561</v>
      </c>
      <c r="I210" t="s">
        <v>254</v>
      </c>
      <c r="J210" t="s">
        <v>139</v>
      </c>
      <c r="K210" t="s">
        <v>140</v>
      </c>
      <c r="L210" t="s">
        <v>186</v>
      </c>
      <c r="M210" t="s">
        <v>239</v>
      </c>
      <c r="N210" t="s">
        <v>240</v>
      </c>
      <c r="O210" t="s">
        <v>241</v>
      </c>
      <c r="P210" t="s">
        <v>82</v>
      </c>
      <c r="Q210" t="s">
        <v>562</v>
      </c>
      <c r="R210" t="s">
        <v>563</v>
      </c>
      <c r="S210" t="s">
        <v>564</v>
      </c>
      <c r="T210" s="15">
        <v>46780</v>
      </c>
      <c r="U210">
        <v>376</v>
      </c>
      <c r="V210">
        <v>2.62</v>
      </c>
      <c r="W210" t="s">
        <v>70</v>
      </c>
      <c r="X210" t="s">
        <v>85</v>
      </c>
      <c r="Y210">
        <v>1</v>
      </c>
      <c r="Z210">
        <v>0</v>
      </c>
      <c r="AA210">
        <v>0</v>
      </c>
    </row>
    <row r="211" spans="1:27" x14ac:dyDescent="0.3">
      <c r="A211" t="s">
        <v>142</v>
      </c>
      <c r="B211" s="15">
        <v>45931</v>
      </c>
      <c r="C211" t="s">
        <v>93</v>
      </c>
      <c r="D211" t="s">
        <v>55</v>
      </c>
      <c r="E211" t="s">
        <v>1115</v>
      </c>
      <c r="F211" t="s">
        <v>1116</v>
      </c>
      <c r="G211" t="s">
        <v>1117</v>
      </c>
      <c r="H211" t="s">
        <v>1118</v>
      </c>
      <c r="I211" t="s">
        <v>1119</v>
      </c>
      <c r="J211" t="s">
        <v>1120</v>
      </c>
      <c r="K211" t="s">
        <v>1121</v>
      </c>
      <c r="L211" t="s">
        <v>87</v>
      </c>
      <c r="M211" t="s">
        <v>88</v>
      </c>
      <c r="N211" t="s">
        <v>89</v>
      </c>
      <c r="O211" t="s">
        <v>150</v>
      </c>
      <c r="P211" t="s">
        <v>82</v>
      </c>
      <c r="Q211" t="s">
        <v>1122</v>
      </c>
      <c r="R211" t="s">
        <v>1123</v>
      </c>
      <c r="S211" t="s">
        <v>1124</v>
      </c>
      <c r="T211" s="15">
        <v>47087</v>
      </c>
      <c r="U211">
        <v>372</v>
      </c>
      <c r="V211">
        <v>9.5</v>
      </c>
      <c r="W211" t="s">
        <v>70</v>
      </c>
      <c r="X211" t="s">
        <v>85</v>
      </c>
      <c r="Y211">
        <v>1</v>
      </c>
      <c r="Z211">
        <v>0</v>
      </c>
      <c r="AA211">
        <v>0</v>
      </c>
    </row>
    <row r="212" spans="1:27" x14ac:dyDescent="0.3">
      <c r="A212" t="s">
        <v>1125</v>
      </c>
      <c r="B212" s="15">
        <v>45918</v>
      </c>
      <c r="C212" t="s">
        <v>503</v>
      </c>
      <c r="D212" t="s">
        <v>55</v>
      </c>
      <c r="E212" t="s">
        <v>1126</v>
      </c>
      <c r="F212" t="s">
        <v>1127</v>
      </c>
      <c r="G212" t="s">
        <v>1128</v>
      </c>
      <c r="H212" t="s">
        <v>1129</v>
      </c>
      <c r="I212" t="s">
        <v>113</v>
      </c>
      <c r="J212" t="s">
        <v>1130</v>
      </c>
      <c r="K212" t="s">
        <v>1131</v>
      </c>
      <c r="L212" t="s">
        <v>63</v>
      </c>
      <c r="M212" t="s">
        <v>1132</v>
      </c>
      <c r="N212" t="s">
        <v>1133</v>
      </c>
      <c r="O212" t="s">
        <v>1134</v>
      </c>
      <c r="P212" t="s">
        <v>119</v>
      </c>
      <c r="Q212" t="s">
        <v>584</v>
      </c>
      <c r="R212" t="s">
        <v>585</v>
      </c>
      <c r="S212" t="s">
        <v>1135</v>
      </c>
      <c r="T212" s="15">
        <v>47205</v>
      </c>
      <c r="U212">
        <v>372</v>
      </c>
      <c r="V212">
        <v>4.79</v>
      </c>
      <c r="W212" t="s">
        <v>70</v>
      </c>
      <c r="X212" t="s">
        <v>71</v>
      </c>
      <c r="Y212">
        <v>1</v>
      </c>
      <c r="Z212">
        <v>0</v>
      </c>
      <c r="AA212">
        <v>0</v>
      </c>
    </row>
    <row r="213" spans="1:27" x14ac:dyDescent="0.3">
      <c r="A213" t="s">
        <v>1136</v>
      </c>
      <c r="B213" s="15">
        <v>45918</v>
      </c>
      <c r="C213" t="s">
        <v>73</v>
      </c>
      <c r="D213" t="s">
        <v>55</v>
      </c>
      <c r="E213" t="s">
        <v>1126</v>
      </c>
      <c r="F213" t="s">
        <v>1127</v>
      </c>
      <c r="G213" t="s">
        <v>1128</v>
      </c>
      <c r="H213" t="s">
        <v>1129</v>
      </c>
      <c r="I213" t="s">
        <v>113</v>
      </c>
      <c r="J213" t="s">
        <v>1130</v>
      </c>
      <c r="K213" t="s">
        <v>1131</v>
      </c>
      <c r="L213" t="s">
        <v>660</v>
      </c>
      <c r="M213" t="s">
        <v>1137</v>
      </c>
      <c r="N213" t="s">
        <v>1138</v>
      </c>
      <c r="O213" t="s">
        <v>1139</v>
      </c>
      <c r="P213" t="s">
        <v>119</v>
      </c>
      <c r="Q213" t="s">
        <v>584</v>
      </c>
      <c r="R213" t="s">
        <v>585</v>
      </c>
      <c r="S213" t="s">
        <v>1135</v>
      </c>
      <c r="T213" s="15">
        <v>47205</v>
      </c>
      <c r="U213">
        <v>372</v>
      </c>
      <c r="V213">
        <v>4.79</v>
      </c>
      <c r="W213" t="s">
        <v>70</v>
      </c>
      <c r="X213" t="s">
        <v>71</v>
      </c>
      <c r="Y213">
        <v>1</v>
      </c>
      <c r="Z213">
        <v>0</v>
      </c>
      <c r="AA213">
        <v>0</v>
      </c>
    </row>
    <row r="214" spans="1:27" x14ac:dyDescent="0.3">
      <c r="A214" t="s">
        <v>1140</v>
      </c>
      <c r="B214" s="15">
        <v>45918</v>
      </c>
      <c r="C214" t="s">
        <v>73</v>
      </c>
      <c r="D214" t="s">
        <v>55</v>
      </c>
      <c r="E214" t="s">
        <v>1126</v>
      </c>
      <c r="F214" t="s">
        <v>1127</v>
      </c>
      <c r="G214" t="s">
        <v>1128</v>
      </c>
      <c r="H214" t="s">
        <v>1129</v>
      </c>
      <c r="I214" t="s">
        <v>113</v>
      </c>
      <c r="J214" t="s">
        <v>1130</v>
      </c>
      <c r="K214" t="s">
        <v>1131</v>
      </c>
      <c r="L214" t="s">
        <v>63</v>
      </c>
      <c r="M214" t="s">
        <v>1141</v>
      </c>
      <c r="N214" t="s">
        <v>1142</v>
      </c>
      <c r="O214" t="s">
        <v>1143</v>
      </c>
      <c r="P214" t="s">
        <v>119</v>
      </c>
      <c r="Q214" t="s">
        <v>584</v>
      </c>
      <c r="R214" t="s">
        <v>585</v>
      </c>
      <c r="S214" t="s">
        <v>1135</v>
      </c>
      <c r="T214" s="15">
        <v>47205</v>
      </c>
      <c r="U214">
        <v>372</v>
      </c>
      <c r="V214">
        <v>4.79</v>
      </c>
      <c r="W214" t="s">
        <v>70</v>
      </c>
      <c r="X214" t="s">
        <v>71</v>
      </c>
      <c r="Y214">
        <v>1</v>
      </c>
      <c r="Z214">
        <v>0</v>
      </c>
      <c r="AA214">
        <v>0</v>
      </c>
    </row>
    <row r="215" spans="1:27" x14ac:dyDescent="0.3">
      <c r="A215" t="s">
        <v>1144</v>
      </c>
      <c r="B215" s="15">
        <v>45918</v>
      </c>
      <c r="C215" t="s">
        <v>54</v>
      </c>
      <c r="D215" t="s">
        <v>55</v>
      </c>
      <c r="E215" t="s">
        <v>1126</v>
      </c>
      <c r="F215" t="s">
        <v>1127</v>
      </c>
      <c r="G215" t="s">
        <v>1128</v>
      </c>
      <c r="H215" t="s">
        <v>1129</v>
      </c>
      <c r="I215" t="s">
        <v>113</v>
      </c>
      <c r="J215" t="s">
        <v>1130</v>
      </c>
      <c r="K215" t="s">
        <v>1131</v>
      </c>
      <c r="L215" t="s">
        <v>63</v>
      </c>
      <c r="M215" t="s">
        <v>1145</v>
      </c>
      <c r="N215" t="s">
        <v>1146</v>
      </c>
      <c r="O215" t="s">
        <v>1147</v>
      </c>
      <c r="P215" t="s">
        <v>119</v>
      </c>
      <c r="Q215" t="s">
        <v>584</v>
      </c>
      <c r="R215" t="s">
        <v>585</v>
      </c>
      <c r="S215" t="s">
        <v>1135</v>
      </c>
      <c r="T215" s="15">
        <v>47205</v>
      </c>
      <c r="U215">
        <v>372</v>
      </c>
      <c r="V215">
        <v>4.79</v>
      </c>
      <c r="W215" t="s">
        <v>70</v>
      </c>
      <c r="X215" t="s">
        <v>71</v>
      </c>
      <c r="Y215">
        <v>1</v>
      </c>
      <c r="Z215">
        <v>0</v>
      </c>
      <c r="AA215">
        <v>0</v>
      </c>
    </row>
    <row r="216" spans="1:27" x14ac:dyDescent="0.3">
      <c r="A216" t="s">
        <v>1148</v>
      </c>
      <c r="B216" s="15">
        <v>45918</v>
      </c>
      <c r="C216" t="s">
        <v>93</v>
      </c>
      <c r="D216" t="s">
        <v>55</v>
      </c>
      <c r="E216" t="s">
        <v>1126</v>
      </c>
      <c r="F216" t="s">
        <v>1127</v>
      </c>
      <c r="G216" t="s">
        <v>1128</v>
      </c>
      <c r="H216" t="s">
        <v>1129</v>
      </c>
      <c r="I216" t="s">
        <v>113</v>
      </c>
      <c r="J216" t="s">
        <v>1130</v>
      </c>
      <c r="K216" t="s">
        <v>1131</v>
      </c>
      <c r="L216" t="s">
        <v>660</v>
      </c>
      <c r="M216" t="s">
        <v>1149</v>
      </c>
      <c r="N216" t="s">
        <v>1150</v>
      </c>
      <c r="O216" t="s">
        <v>1151</v>
      </c>
      <c r="P216" t="s">
        <v>119</v>
      </c>
      <c r="Q216" t="s">
        <v>584</v>
      </c>
      <c r="R216" t="s">
        <v>585</v>
      </c>
      <c r="S216" t="s">
        <v>1135</v>
      </c>
      <c r="T216" s="15">
        <v>47205</v>
      </c>
      <c r="U216">
        <v>372</v>
      </c>
      <c r="V216">
        <v>4.79</v>
      </c>
      <c r="W216" t="s">
        <v>70</v>
      </c>
      <c r="X216" t="s">
        <v>71</v>
      </c>
      <c r="Y216">
        <v>1</v>
      </c>
      <c r="Z216">
        <v>0</v>
      </c>
      <c r="AA216">
        <v>0</v>
      </c>
    </row>
    <row r="217" spans="1:27" x14ac:dyDescent="0.3">
      <c r="A217" t="s">
        <v>1152</v>
      </c>
      <c r="B217" s="15">
        <v>45918</v>
      </c>
      <c r="C217" t="s">
        <v>179</v>
      </c>
      <c r="D217" t="s">
        <v>55</v>
      </c>
      <c r="E217" t="s">
        <v>1126</v>
      </c>
      <c r="F217" t="s">
        <v>1127</v>
      </c>
      <c r="G217" t="s">
        <v>1128</v>
      </c>
      <c r="H217" t="s">
        <v>1129</v>
      </c>
      <c r="I217" t="s">
        <v>113</v>
      </c>
      <c r="J217" t="s">
        <v>1130</v>
      </c>
      <c r="K217" t="s">
        <v>1131</v>
      </c>
      <c r="L217" t="s">
        <v>63</v>
      </c>
      <c r="M217" t="s">
        <v>1153</v>
      </c>
      <c r="N217" t="s">
        <v>1154</v>
      </c>
      <c r="O217" t="s">
        <v>1155</v>
      </c>
      <c r="P217" t="s">
        <v>119</v>
      </c>
      <c r="Q217" t="s">
        <v>584</v>
      </c>
      <c r="R217" t="s">
        <v>585</v>
      </c>
      <c r="S217" t="s">
        <v>1135</v>
      </c>
      <c r="T217" s="15">
        <v>47205</v>
      </c>
      <c r="U217">
        <v>372</v>
      </c>
      <c r="V217">
        <v>4.79</v>
      </c>
      <c r="W217" t="s">
        <v>70</v>
      </c>
      <c r="X217" t="s">
        <v>71</v>
      </c>
      <c r="Y217">
        <v>1</v>
      </c>
      <c r="Z217">
        <v>0</v>
      </c>
      <c r="AA217">
        <v>0</v>
      </c>
    </row>
    <row r="218" spans="1:27" x14ac:dyDescent="0.3">
      <c r="A218" t="s">
        <v>1156</v>
      </c>
      <c r="B218" s="15">
        <v>45918</v>
      </c>
      <c r="C218" t="s">
        <v>497</v>
      </c>
      <c r="D218" t="s">
        <v>55</v>
      </c>
      <c r="E218" t="s">
        <v>1126</v>
      </c>
      <c r="F218" t="s">
        <v>1127</v>
      </c>
      <c r="G218" t="s">
        <v>1128</v>
      </c>
      <c r="H218" t="s">
        <v>1129</v>
      </c>
      <c r="I218" t="s">
        <v>113</v>
      </c>
      <c r="J218" t="s">
        <v>1130</v>
      </c>
      <c r="K218" t="s">
        <v>1131</v>
      </c>
      <c r="L218" t="s">
        <v>63</v>
      </c>
      <c r="M218" t="s">
        <v>1157</v>
      </c>
      <c r="N218" t="s">
        <v>1158</v>
      </c>
      <c r="O218" t="s">
        <v>1159</v>
      </c>
      <c r="P218" t="s">
        <v>119</v>
      </c>
      <c r="Q218" t="s">
        <v>584</v>
      </c>
      <c r="R218" t="s">
        <v>585</v>
      </c>
      <c r="S218" t="s">
        <v>1135</v>
      </c>
      <c r="T218" s="15">
        <v>47205</v>
      </c>
      <c r="U218">
        <v>372</v>
      </c>
      <c r="V218">
        <v>4.79</v>
      </c>
      <c r="W218" t="s">
        <v>70</v>
      </c>
      <c r="X218" t="s">
        <v>71</v>
      </c>
      <c r="Y218">
        <v>1</v>
      </c>
      <c r="Z218">
        <v>0</v>
      </c>
      <c r="AA218">
        <v>0</v>
      </c>
    </row>
    <row r="219" spans="1:27" x14ac:dyDescent="0.3">
      <c r="A219" t="s">
        <v>1160</v>
      </c>
      <c r="B219" s="15">
        <v>45918</v>
      </c>
      <c r="C219" t="s">
        <v>179</v>
      </c>
      <c r="D219" t="s">
        <v>55</v>
      </c>
      <c r="E219" t="s">
        <v>1126</v>
      </c>
      <c r="F219" t="s">
        <v>1127</v>
      </c>
      <c r="G219" t="s">
        <v>1128</v>
      </c>
      <c r="H219" t="s">
        <v>1129</v>
      </c>
      <c r="I219" t="s">
        <v>113</v>
      </c>
      <c r="J219" t="s">
        <v>1130</v>
      </c>
      <c r="K219" t="s">
        <v>1131</v>
      </c>
      <c r="L219" t="s">
        <v>660</v>
      </c>
      <c r="M219" t="s">
        <v>1161</v>
      </c>
      <c r="N219" t="s">
        <v>1162</v>
      </c>
      <c r="O219" t="s">
        <v>1163</v>
      </c>
      <c r="P219" t="s">
        <v>119</v>
      </c>
      <c r="Q219" t="s">
        <v>584</v>
      </c>
      <c r="R219" t="s">
        <v>585</v>
      </c>
      <c r="S219" t="s">
        <v>1135</v>
      </c>
      <c r="T219" s="15">
        <v>47205</v>
      </c>
      <c r="U219">
        <v>372</v>
      </c>
      <c r="V219">
        <v>4.79</v>
      </c>
      <c r="W219" t="s">
        <v>70</v>
      </c>
      <c r="X219" t="s">
        <v>71</v>
      </c>
      <c r="Y219">
        <v>1</v>
      </c>
      <c r="Z219">
        <v>0</v>
      </c>
      <c r="AA219">
        <v>0</v>
      </c>
    </row>
    <row r="220" spans="1:27" x14ac:dyDescent="0.3">
      <c r="A220" t="s">
        <v>1164</v>
      </c>
      <c r="B220" s="15">
        <v>45918</v>
      </c>
      <c r="C220" t="s">
        <v>1165</v>
      </c>
      <c r="D220" t="s">
        <v>55</v>
      </c>
      <c r="E220" t="s">
        <v>1126</v>
      </c>
      <c r="F220" t="s">
        <v>1127</v>
      </c>
      <c r="G220" t="s">
        <v>1128</v>
      </c>
      <c r="H220" t="s">
        <v>1129</v>
      </c>
      <c r="I220" t="s">
        <v>113</v>
      </c>
      <c r="J220" t="s">
        <v>1130</v>
      </c>
      <c r="K220" t="s">
        <v>1131</v>
      </c>
      <c r="L220" t="s">
        <v>738</v>
      </c>
      <c r="M220" t="s">
        <v>1166</v>
      </c>
      <c r="N220" t="s">
        <v>1167</v>
      </c>
      <c r="O220" t="s">
        <v>1168</v>
      </c>
      <c r="P220" t="s">
        <v>119</v>
      </c>
      <c r="Q220" t="s">
        <v>584</v>
      </c>
      <c r="R220" t="s">
        <v>585</v>
      </c>
      <c r="S220" t="s">
        <v>1135</v>
      </c>
      <c r="T220" s="15">
        <v>47205</v>
      </c>
      <c r="U220">
        <v>372</v>
      </c>
      <c r="V220">
        <v>4.79</v>
      </c>
      <c r="W220" t="s">
        <v>70</v>
      </c>
      <c r="X220" t="s">
        <v>71</v>
      </c>
      <c r="Y220">
        <v>1</v>
      </c>
      <c r="Z220">
        <v>0</v>
      </c>
      <c r="AA220">
        <v>0</v>
      </c>
    </row>
    <row r="221" spans="1:27" x14ac:dyDescent="0.3">
      <c r="A221" t="s">
        <v>86</v>
      </c>
      <c r="B221" s="15">
        <v>45931</v>
      </c>
      <c r="C221" t="s">
        <v>93</v>
      </c>
      <c r="D221" t="s">
        <v>55</v>
      </c>
      <c r="E221" t="s">
        <v>1169</v>
      </c>
      <c r="F221" t="s">
        <v>1170</v>
      </c>
      <c r="G221" t="s">
        <v>1171</v>
      </c>
      <c r="H221" t="s">
        <v>1172</v>
      </c>
      <c r="I221" t="s">
        <v>854</v>
      </c>
      <c r="J221" t="s">
        <v>79</v>
      </c>
      <c r="K221" t="s">
        <v>80</v>
      </c>
      <c r="L221" t="s">
        <v>87</v>
      </c>
      <c r="M221" t="s">
        <v>88</v>
      </c>
      <c r="N221" t="s">
        <v>89</v>
      </c>
      <c r="O221" t="s">
        <v>90</v>
      </c>
      <c r="P221" t="s">
        <v>82</v>
      </c>
      <c r="Q221" t="s">
        <v>855</v>
      </c>
      <c r="R221" t="s">
        <v>856</v>
      </c>
      <c r="S221" t="s">
        <v>1173</v>
      </c>
      <c r="T221" s="15">
        <v>46535</v>
      </c>
      <c r="U221">
        <v>371</v>
      </c>
      <c r="V221">
        <v>13.4</v>
      </c>
      <c r="W221" t="s">
        <v>70</v>
      </c>
      <c r="X221" t="s">
        <v>85</v>
      </c>
      <c r="Y221">
        <v>1</v>
      </c>
      <c r="Z221">
        <v>0</v>
      </c>
      <c r="AA221">
        <v>0</v>
      </c>
    </row>
    <row r="222" spans="1:27" x14ac:dyDescent="0.3">
      <c r="A222" t="s">
        <v>238</v>
      </c>
      <c r="B222" s="15">
        <v>45931</v>
      </c>
      <c r="C222" t="s">
        <v>179</v>
      </c>
      <c r="D222" t="s">
        <v>55</v>
      </c>
      <c r="E222" t="s">
        <v>572</v>
      </c>
      <c r="F222" t="s">
        <v>573</v>
      </c>
      <c r="G222" t="s">
        <v>574</v>
      </c>
      <c r="H222" t="s">
        <v>575</v>
      </c>
      <c r="I222" t="s">
        <v>78</v>
      </c>
      <c r="J222" t="s">
        <v>79</v>
      </c>
      <c r="K222" t="s">
        <v>80</v>
      </c>
      <c r="L222" t="s">
        <v>186</v>
      </c>
      <c r="M222" t="s">
        <v>239</v>
      </c>
      <c r="N222" t="s">
        <v>240</v>
      </c>
      <c r="O222" t="s">
        <v>241</v>
      </c>
      <c r="P222" t="s">
        <v>82</v>
      </c>
      <c r="Q222" t="s">
        <v>576</v>
      </c>
      <c r="R222" t="s">
        <v>577</v>
      </c>
      <c r="S222" t="s">
        <v>578</v>
      </c>
      <c r="T222" s="15">
        <v>46415</v>
      </c>
      <c r="U222">
        <v>370</v>
      </c>
      <c r="V222">
        <v>10.88</v>
      </c>
      <c r="W222" t="s">
        <v>70</v>
      </c>
      <c r="X222" t="s">
        <v>85</v>
      </c>
      <c r="Y222">
        <v>1</v>
      </c>
      <c r="Z222">
        <v>0</v>
      </c>
      <c r="AA222">
        <v>0</v>
      </c>
    </row>
    <row r="223" spans="1:27" x14ac:dyDescent="0.3">
      <c r="A223" t="s">
        <v>596</v>
      </c>
      <c r="B223" s="15">
        <v>45842</v>
      </c>
      <c r="C223" t="s">
        <v>497</v>
      </c>
      <c r="D223" t="s">
        <v>55</v>
      </c>
      <c r="E223" t="s">
        <v>1174</v>
      </c>
      <c r="F223" t="s">
        <v>1175</v>
      </c>
      <c r="G223" t="s">
        <v>1176</v>
      </c>
      <c r="H223" t="s">
        <v>1177</v>
      </c>
      <c r="I223" t="s">
        <v>643</v>
      </c>
      <c r="J223" t="s">
        <v>644</v>
      </c>
      <c r="K223" t="s">
        <v>645</v>
      </c>
      <c r="L223" t="s">
        <v>87</v>
      </c>
      <c r="M223" t="s">
        <v>601</v>
      </c>
      <c r="N223" t="s">
        <v>602</v>
      </c>
      <c r="O223" t="s">
        <v>603</v>
      </c>
      <c r="P223" t="s">
        <v>82</v>
      </c>
      <c r="Q223" t="s">
        <v>1178</v>
      </c>
      <c r="R223" t="s">
        <v>1179</v>
      </c>
      <c r="S223" t="s">
        <v>1180</v>
      </c>
      <c r="T223" s="15">
        <v>46438</v>
      </c>
      <c r="U223">
        <v>368</v>
      </c>
      <c r="V223">
        <v>7</v>
      </c>
      <c r="W223" t="s">
        <v>70</v>
      </c>
      <c r="X223" t="s">
        <v>107</v>
      </c>
      <c r="Y223">
        <v>1</v>
      </c>
      <c r="Z223">
        <v>0</v>
      </c>
      <c r="AA223">
        <v>0</v>
      </c>
    </row>
    <row r="224" spans="1:27" x14ac:dyDescent="0.3">
      <c r="A224" t="s">
        <v>708</v>
      </c>
      <c r="B224" s="15">
        <v>45815</v>
      </c>
      <c r="C224" t="s">
        <v>497</v>
      </c>
      <c r="D224" t="s">
        <v>55</v>
      </c>
      <c r="E224" t="s">
        <v>858</v>
      </c>
      <c r="F224" t="s">
        <v>1181</v>
      </c>
      <c r="G224" t="s">
        <v>860</v>
      </c>
      <c r="H224" t="s">
        <v>861</v>
      </c>
      <c r="I224" t="s">
        <v>254</v>
      </c>
      <c r="J224" t="s">
        <v>139</v>
      </c>
      <c r="K224" t="s">
        <v>140</v>
      </c>
      <c r="L224" t="s">
        <v>186</v>
      </c>
      <c r="M224" t="s">
        <v>713</v>
      </c>
      <c r="N224" t="s">
        <v>714</v>
      </c>
      <c r="O224" t="s">
        <v>715</v>
      </c>
      <c r="P224" t="s">
        <v>82</v>
      </c>
      <c r="Q224" t="s">
        <v>235</v>
      </c>
      <c r="R224" t="s">
        <v>236</v>
      </c>
      <c r="S224" t="s">
        <v>1182</v>
      </c>
      <c r="T224" s="15">
        <v>46474</v>
      </c>
      <c r="U224">
        <v>368</v>
      </c>
      <c r="V224">
        <v>8.4600000000000009</v>
      </c>
      <c r="W224" t="s">
        <v>70</v>
      </c>
      <c r="X224" t="s">
        <v>177</v>
      </c>
      <c r="Y224">
        <v>1</v>
      </c>
      <c r="Z224">
        <v>0</v>
      </c>
      <c r="AA224">
        <v>0</v>
      </c>
    </row>
    <row r="225" spans="1:27" x14ac:dyDescent="0.3">
      <c r="A225" t="s">
        <v>142</v>
      </c>
      <c r="B225" s="15">
        <v>45931</v>
      </c>
      <c r="C225" t="s">
        <v>93</v>
      </c>
      <c r="D225" t="s">
        <v>55</v>
      </c>
      <c r="E225" t="s">
        <v>1183</v>
      </c>
      <c r="F225" t="s">
        <v>1184</v>
      </c>
      <c r="G225" t="s">
        <v>1185</v>
      </c>
      <c r="H225" t="s">
        <v>1186</v>
      </c>
      <c r="I225" t="s">
        <v>526</v>
      </c>
      <c r="J225" t="s">
        <v>527</v>
      </c>
      <c r="K225" t="s">
        <v>528</v>
      </c>
      <c r="L225" t="s">
        <v>87</v>
      </c>
      <c r="M225" t="s">
        <v>88</v>
      </c>
      <c r="N225" t="s">
        <v>89</v>
      </c>
      <c r="O225" t="s">
        <v>150</v>
      </c>
      <c r="P225" t="s">
        <v>82</v>
      </c>
      <c r="Q225" t="s">
        <v>1187</v>
      </c>
      <c r="R225" t="s">
        <v>1188</v>
      </c>
      <c r="S225" t="s">
        <v>1189</v>
      </c>
      <c r="T225" s="15">
        <v>47631</v>
      </c>
      <c r="U225">
        <v>368</v>
      </c>
      <c r="V225">
        <v>91</v>
      </c>
      <c r="W225" t="s">
        <v>70</v>
      </c>
      <c r="X225" t="s">
        <v>85</v>
      </c>
      <c r="Y225">
        <v>1</v>
      </c>
      <c r="Z225">
        <v>0</v>
      </c>
      <c r="AA225">
        <v>0</v>
      </c>
    </row>
    <row r="226" spans="1:27" x14ac:dyDescent="0.3">
      <c r="A226" t="s">
        <v>1190</v>
      </c>
      <c r="B226" s="15">
        <v>45842</v>
      </c>
      <c r="C226" t="s">
        <v>497</v>
      </c>
      <c r="D226" t="s">
        <v>55</v>
      </c>
      <c r="E226" t="s">
        <v>539</v>
      </c>
      <c r="F226" t="s">
        <v>1191</v>
      </c>
      <c r="G226" t="s">
        <v>541</v>
      </c>
      <c r="H226" t="s">
        <v>542</v>
      </c>
      <c r="I226" t="s">
        <v>543</v>
      </c>
      <c r="J226" t="s">
        <v>544</v>
      </c>
      <c r="K226" t="s">
        <v>545</v>
      </c>
      <c r="L226" t="s">
        <v>718</v>
      </c>
      <c r="M226" t="s">
        <v>1192</v>
      </c>
      <c r="N226" t="s">
        <v>1193</v>
      </c>
      <c r="O226" t="s">
        <v>1194</v>
      </c>
      <c r="P226" t="s">
        <v>82</v>
      </c>
      <c r="Q226" t="s">
        <v>546</v>
      </c>
      <c r="R226" t="s">
        <v>547</v>
      </c>
      <c r="S226" t="s">
        <v>1195</v>
      </c>
      <c r="T226" s="15">
        <v>47297</v>
      </c>
      <c r="U226">
        <v>366</v>
      </c>
      <c r="V226">
        <v>2.7</v>
      </c>
      <c r="W226" t="s">
        <v>70</v>
      </c>
      <c r="X226" t="s">
        <v>107</v>
      </c>
      <c r="Y226">
        <v>0</v>
      </c>
      <c r="Z226">
        <v>0</v>
      </c>
      <c r="AA226">
        <v>0</v>
      </c>
    </row>
    <row r="227" spans="1:27" x14ac:dyDescent="0.3">
      <c r="A227" t="s">
        <v>72</v>
      </c>
      <c r="B227" s="15">
        <v>45931</v>
      </c>
      <c r="C227" t="s">
        <v>73</v>
      </c>
      <c r="D227" t="s">
        <v>55</v>
      </c>
      <c r="E227" t="s">
        <v>250</v>
      </c>
      <c r="F227" t="s">
        <v>251</v>
      </c>
      <c r="G227" t="s">
        <v>252</v>
      </c>
      <c r="H227" t="s">
        <v>253</v>
      </c>
      <c r="I227" t="s">
        <v>254</v>
      </c>
      <c r="J227" t="s">
        <v>139</v>
      </c>
      <c r="K227" t="s">
        <v>140</v>
      </c>
      <c r="L227" t="s">
        <v>63</v>
      </c>
      <c r="M227" t="s">
        <v>64</v>
      </c>
      <c r="N227" t="s">
        <v>65</v>
      </c>
      <c r="O227" t="s">
        <v>81</v>
      </c>
      <c r="P227" t="s">
        <v>82</v>
      </c>
      <c r="Q227" t="s">
        <v>255</v>
      </c>
      <c r="R227" t="s">
        <v>256</v>
      </c>
      <c r="S227" t="s">
        <v>257</v>
      </c>
      <c r="T227" s="15">
        <v>46474</v>
      </c>
      <c r="U227">
        <v>366</v>
      </c>
      <c r="V227">
        <v>8.4</v>
      </c>
      <c r="W227" t="s">
        <v>70</v>
      </c>
      <c r="X227" t="s">
        <v>85</v>
      </c>
      <c r="Y227">
        <v>0</v>
      </c>
      <c r="Z227">
        <v>0</v>
      </c>
      <c r="AA227">
        <v>0</v>
      </c>
    </row>
    <row r="228" spans="1:27" x14ac:dyDescent="0.3">
      <c r="A228" t="s">
        <v>596</v>
      </c>
      <c r="B228" s="15">
        <v>45842</v>
      </c>
      <c r="C228" t="s">
        <v>497</v>
      </c>
      <c r="D228" t="s">
        <v>55</v>
      </c>
      <c r="E228" t="s">
        <v>1196</v>
      </c>
      <c r="F228" t="s">
        <v>1197</v>
      </c>
      <c r="G228" t="s">
        <v>1198</v>
      </c>
      <c r="H228" t="s">
        <v>1199</v>
      </c>
      <c r="I228" t="s">
        <v>1200</v>
      </c>
      <c r="J228" t="s">
        <v>1201</v>
      </c>
      <c r="K228" t="s">
        <v>1202</v>
      </c>
      <c r="L228" t="s">
        <v>87</v>
      </c>
      <c r="M228" t="s">
        <v>601</v>
      </c>
      <c r="N228" t="s">
        <v>602</v>
      </c>
      <c r="O228" t="s">
        <v>603</v>
      </c>
      <c r="P228" t="s">
        <v>82</v>
      </c>
      <c r="Q228" t="s">
        <v>1203</v>
      </c>
      <c r="R228" t="s">
        <v>1204</v>
      </c>
      <c r="S228" t="s">
        <v>1205</v>
      </c>
      <c r="T228" s="15">
        <v>46415</v>
      </c>
      <c r="U228">
        <v>364</v>
      </c>
      <c r="V228">
        <v>29.83</v>
      </c>
      <c r="W228" t="s">
        <v>70</v>
      </c>
      <c r="X228" t="s">
        <v>107</v>
      </c>
      <c r="Y228">
        <v>1</v>
      </c>
      <c r="Z228">
        <v>0</v>
      </c>
      <c r="AA228">
        <v>0</v>
      </c>
    </row>
    <row r="229" spans="1:27" x14ac:dyDescent="0.3">
      <c r="A229" t="s">
        <v>1206</v>
      </c>
      <c r="B229" s="15">
        <v>45842</v>
      </c>
      <c r="C229" t="s">
        <v>73</v>
      </c>
      <c r="D229" t="s">
        <v>55</v>
      </c>
      <c r="E229" t="s">
        <v>1207</v>
      </c>
      <c r="F229" t="s">
        <v>1208</v>
      </c>
      <c r="G229" t="s">
        <v>1209</v>
      </c>
      <c r="H229" t="s">
        <v>1210</v>
      </c>
      <c r="I229" t="s">
        <v>1211</v>
      </c>
      <c r="J229" t="s">
        <v>1105</v>
      </c>
      <c r="K229" t="s">
        <v>1106</v>
      </c>
      <c r="L229" t="s">
        <v>87</v>
      </c>
      <c r="M229" t="s">
        <v>768</v>
      </c>
      <c r="N229" t="s">
        <v>769</v>
      </c>
      <c r="O229" t="s">
        <v>1212</v>
      </c>
      <c r="P229" t="s">
        <v>67</v>
      </c>
      <c r="Q229" t="s">
        <v>1213</v>
      </c>
      <c r="R229" t="s">
        <v>1214</v>
      </c>
      <c r="S229" t="s">
        <v>1215</v>
      </c>
      <c r="T229" s="15">
        <v>46201</v>
      </c>
      <c r="U229">
        <v>363</v>
      </c>
      <c r="V229">
        <v>23.5</v>
      </c>
      <c r="W229" t="s">
        <v>70</v>
      </c>
      <c r="X229" t="s">
        <v>107</v>
      </c>
      <c r="Y229">
        <v>1</v>
      </c>
      <c r="Z229">
        <v>0</v>
      </c>
      <c r="AA229">
        <v>0</v>
      </c>
    </row>
    <row r="230" spans="1:27" x14ac:dyDescent="0.3">
      <c r="A230" t="s">
        <v>708</v>
      </c>
      <c r="B230" s="15">
        <v>45815</v>
      </c>
      <c r="C230" t="s">
        <v>497</v>
      </c>
      <c r="D230" t="s">
        <v>55</v>
      </c>
      <c r="E230" t="s">
        <v>250</v>
      </c>
      <c r="F230" t="s">
        <v>1216</v>
      </c>
      <c r="G230" t="s">
        <v>252</v>
      </c>
      <c r="H230" t="s">
        <v>1217</v>
      </c>
      <c r="I230" t="s">
        <v>254</v>
      </c>
      <c r="J230" t="s">
        <v>139</v>
      </c>
      <c r="K230" t="s">
        <v>140</v>
      </c>
      <c r="L230" t="s">
        <v>186</v>
      </c>
      <c r="M230" t="s">
        <v>713</v>
      </c>
      <c r="N230" t="s">
        <v>714</v>
      </c>
      <c r="O230" t="s">
        <v>715</v>
      </c>
      <c r="P230" t="s">
        <v>82</v>
      </c>
      <c r="Q230" t="s">
        <v>255</v>
      </c>
      <c r="R230" t="s">
        <v>256</v>
      </c>
      <c r="S230" t="s">
        <v>1218</v>
      </c>
      <c r="T230" s="15">
        <v>46415</v>
      </c>
      <c r="U230">
        <v>361</v>
      </c>
      <c r="V230">
        <v>8.4</v>
      </c>
      <c r="W230" t="s">
        <v>70</v>
      </c>
      <c r="X230" t="s">
        <v>177</v>
      </c>
      <c r="Y230">
        <v>0</v>
      </c>
      <c r="Z230">
        <v>0</v>
      </c>
      <c r="AA230">
        <v>0</v>
      </c>
    </row>
    <row r="231" spans="1:27" x14ac:dyDescent="0.3">
      <c r="A231" t="s">
        <v>1074</v>
      </c>
      <c r="B231" s="15">
        <v>45842</v>
      </c>
      <c r="C231" t="s">
        <v>497</v>
      </c>
      <c r="D231" t="s">
        <v>55</v>
      </c>
      <c r="E231" t="s">
        <v>347</v>
      </c>
      <c r="F231" t="s">
        <v>1219</v>
      </c>
      <c r="G231" t="s">
        <v>349</v>
      </c>
      <c r="H231" t="s">
        <v>1220</v>
      </c>
      <c r="I231" t="s">
        <v>113</v>
      </c>
      <c r="J231" t="s">
        <v>114</v>
      </c>
      <c r="K231" t="s">
        <v>115</v>
      </c>
      <c r="L231" t="s">
        <v>87</v>
      </c>
      <c r="M231" t="s">
        <v>601</v>
      </c>
      <c r="N231" t="s">
        <v>602</v>
      </c>
      <c r="O231" t="s">
        <v>1079</v>
      </c>
      <c r="P231" t="s">
        <v>119</v>
      </c>
      <c r="Q231" t="s">
        <v>1221</v>
      </c>
      <c r="R231" t="s">
        <v>1222</v>
      </c>
      <c r="S231" t="s">
        <v>1223</v>
      </c>
      <c r="T231" s="15">
        <v>46293</v>
      </c>
      <c r="U231">
        <v>360</v>
      </c>
      <c r="V231">
        <v>11.21</v>
      </c>
      <c r="W231" t="s">
        <v>70</v>
      </c>
      <c r="X231" t="s">
        <v>107</v>
      </c>
      <c r="Y231">
        <v>1</v>
      </c>
      <c r="Z231">
        <v>0</v>
      </c>
      <c r="AA231">
        <v>0</v>
      </c>
    </row>
    <row r="232" spans="1:27" x14ac:dyDescent="0.3">
      <c r="A232" t="s">
        <v>1224</v>
      </c>
      <c r="B232" s="15">
        <v>45931</v>
      </c>
      <c r="C232" t="s">
        <v>95</v>
      </c>
      <c r="D232" t="s">
        <v>55</v>
      </c>
      <c r="E232" t="s">
        <v>1075</v>
      </c>
      <c r="F232" t="s">
        <v>1225</v>
      </c>
      <c r="G232" t="s">
        <v>1077</v>
      </c>
      <c r="H232" t="s">
        <v>1078</v>
      </c>
      <c r="I232" t="s">
        <v>113</v>
      </c>
      <c r="J232" t="s">
        <v>114</v>
      </c>
      <c r="K232" t="s">
        <v>115</v>
      </c>
      <c r="L232" t="s">
        <v>498</v>
      </c>
      <c r="M232" t="s">
        <v>499</v>
      </c>
      <c r="N232" t="s">
        <v>500</v>
      </c>
      <c r="O232" t="s">
        <v>1226</v>
      </c>
      <c r="P232" t="s">
        <v>119</v>
      </c>
      <c r="Q232" t="s">
        <v>1227</v>
      </c>
      <c r="R232" t="s">
        <v>1228</v>
      </c>
      <c r="S232" t="s">
        <v>1229</v>
      </c>
      <c r="T232" s="15">
        <v>46354</v>
      </c>
      <c r="U232">
        <v>360</v>
      </c>
      <c r="V232">
        <v>76.28</v>
      </c>
      <c r="W232" t="s">
        <v>70</v>
      </c>
      <c r="X232" t="s">
        <v>85</v>
      </c>
      <c r="Y232">
        <v>1</v>
      </c>
      <c r="Z232">
        <v>1</v>
      </c>
      <c r="AA232">
        <v>0</v>
      </c>
    </row>
    <row r="233" spans="1:27" x14ac:dyDescent="0.3">
      <c r="A233" t="s">
        <v>717</v>
      </c>
      <c r="B233" s="15">
        <v>45931</v>
      </c>
      <c r="C233" t="s">
        <v>272</v>
      </c>
      <c r="D233" t="s">
        <v>55</v>
      </c>
      <c r="E233" t="s">
        <v>74</v>
      </c>
      <c r="F233" t="s">
        <v>75</v>
      </c>
      <c r="G233" t="s">
        <v>76</v>
      </c>
      <c r="H233" t="s">
        <v>77</v>
      </c>
      <c r="I233" t="s">
        <v>78</v>
      </c>
      <c r="J233" t="s">
        <v>79</v>
      </c>
      <c r="K233" t="s">
        <v>80</v>
      </c>
      <c r="L233" t="s">
        <v>718</v>
      </c>
      <c r="M233" t="s">
        <v>719</v>
      </c>
      <c r="N233" t="s">
        <v>720</v>
      </c>
      <c r="O233" t="s">
        <v>721</v>
      </c>
      <c r="P233" t="s">
        <v>82</v>
      </c>
      <c r="Q233" t="s">
        <v>83</v>
      </c>
      <c r="R233" t="s">
        <v>92</v>
      </c>
      <c r="S233" t="s">
        <v>84</v>
      </c>
      <c r="T233" s="15">
        <v>46384</v>
      </c>
      <c r="U233">
        <v>358</v>
      </c>
      <c r="V233">
        <v>6.65</v>
      </c>
      <c r="W233" t="s">
        <v>70</v>
      </c>
      <c r="X233" t="s">
        <v>85</v>
      </c>
      <c r="Y233">
        <v>1</v>
      </c>
      <c r="Z233">
        <v>0</v>
      </c>
      <c r="AA233">
        <v>0</v>
      </c>
    </row>
    <row r="234" spans="1:27" x14ac:dyDescent="0.3">
      <c r="A234" t="s">
        <v>72</v>
      </c>
      <c r="B234" s="15">
        <v>45931</v>
      </c>
      <c r="C234" t="s">
        <v>73</v>
      </c>
      <c r="D234" t="s">
        <v>55</v>
      </c>
      <c r="E234" t="s">
        <v>1230</v>
      </c>
      <c r="F234" t="s">
        <v>1231</v>
      </c>
      <c r="G234" t="s">
        <v>1232</v>
      </c>
      <c r="H234" t="s">
        <v>1233</v>
      </c>
      <c r="I234" t="s">
        <v>1234</v>
      </c>
      <c r="J234" t="s">
        <v>1235</v>
      </c>
      <c r="K234" t="s">
        <v>1236</v>
      </c>
      <c r="L234" t="s">
        <v>63</v>
      </c>
      <c r="M234" t="s">
        <v>64</v>
      </c>
      <c r="N234" t="s">
        <v>65</v>
      </c>
      <c r="O234" t="s">
        <v>81</v>
      </c>
      <c r="P234" t="s">
        <v>82</v>
      </c>
      <c r="Q234" t="s">
        <v>1237</v>
      </c>
      <c r="R234" t="s">
        <v>1238</v>
      </c>
      <c r="S234" t="s">
        <v>1239</v>
      </c>
      <c r="T234" s="15">
        <v>46446</v>
      </c>
      <c r="U234">
        <v>356</v>
      </c>
      <c r="V234">
        <v>7.48</v>
      </c>
      <c r="W234" t="s">
        <v>70</v>
      </c>
      <c r="X234" t="s">
        <v>85</v>
      </c>
      <c r="Y234">
        <v>1</v>
      </c>
      <c r="Z234">
        <v>0</v>
      </c>
      <c r="AA234">
        <v>0</v>
      </c>
    </row>
    <row r="235" spans="1:27" x14ac:dyDescent="0.3">
      <c r="A235" t="s">
        <v>86</v>
      </c>
      <c r="B235" s="15">
        <v>45931</v>
      </c>
      <c r="C235" t="s">
        <v>93</v>
      </c>
      <c r="D235" t="s">
        <v>55</v>
      </c>
      <c r="E235" t="s">
        <v>1230</v>
      </c>
      <c r="F235" t="s">
        <v>1231</v>
      </c>
      <c r="G235" t="s">
        <v>1232</v>
      </c>
      <c r="H235" t="s">
        <v>1233</v>
      </c>
      <c r="I235" t="s">
        <v>1234</v>
      </c>
      <c r="J235" t="s">
        <v>1235</v>
      </c>
      <c r="K235" t="s">
        <v>1236</v>
      </c>
      <c r="L235" t="s">
        <v>87</v>
      </c>
      <c r="M235" t="s">
        <v>88</v>
      </c>
      <c r="N235" t="s">
        <v>89</v>
      </c>
      <c r="O235" t="s">
        <v>90</v>
      </c>
      <c r="P235" t="s">
        <v>82</v>
      </c>
      <c r="Q235" t="s">
        <v>1237</v>
      </c>
      <c r="R235" t="s">
        <v>1238</v>
      </c>
      <c r="S235" t="s">
        <v>1239</v>
      </c>
      <c r="T235" s="15">
        <v>46446</v>
      </c>
      <c r="U235">
        <v>356</v>
      </c>
      <c r="V235">
        <v>7.48</v>
      </c>
      <c r="W235" t="s">
        <v>70</v>
      </c>
      <c r="X235" t="s">
        <v>85</v>
      </c>
      <c r="Y235">
        <v>1</v>
      </c>
      <c r="Z235">
        <v>0</v>
      </c>
      <c r="AA235">
        <v>0</v>
      </c>
    </row>
    <row r="236" spans="1:27" x14ac:dyDescent="0.3">
      <c r="A236" t="s">
        <v>238</v>
      </c>
      <c r="B236" s="15">
        <v>45931</v>
      </c>
      <c r="C236" t="s">
        <v>179</v>
      </c>
      <c r="D236" t="s">
        <v>55</v>
      </c>
      <c r="E236" t="s">
        <v>579</v>
      </c>
      <c r="F236" t="s">
        <v>580</v>
      </c>
      <c r="G236" t="s">
        <v>581</v>
      </c>
      <c r="H236" t="s">
        <v>582</v>
      </c>
      <c r="I236" t="s">
        <v>583</v>
      </c>
      <c r="J236" t="s">
        <v>79</v>
      </c>
      <c r="K236" t="s">
        <v>80</v>
      </c>
      <c r="L236" t="s">
        <v>186</v>
      </c>
      <c r="M236" t="s">
        <v>239</v>
      </c>
      <c r="N236" t="s">
        <v>240</v>
      </c>
      <c r="O236" t="s">
        <v>241</v>
      </c>
      <c r="P236" t="s">
        <v>82</v>
      </c>
      <c r="Q236" t="s">
        <v>584</v>
      </c>
      <c r="R236" t="s">
        <v>585</v>
      </c>
      <c r="S236" t="s">
        <v>586</v>
      </c>
      <c r="T236" s="15">
        <v>46596</v>
      </c>
      <c r="U236">
        <v>356</v>
      </c>
      <c r="V236">
        <v>2.82</v>
      </c>
      <c r="W236" t="s">
        <v>70</v>
      </c>
      <c r="X236" t="s">
        <v>85</v>
      </c>
      <c r="Y236">
        <v>1</v>
      </c>
      <c r="Z236">
        <v>0</v>
      </c>
      <c r="AA236">
        <v>0</v>
      </c>
    </row>
    <row r="237" spans="1:27" x14ac:dyDescent="0.3">
      <c r="A237" t="s">
        <v>1240</v>
      </c>
      <c r="B237" s="15">
        <v>45842</v>
      </c>
      <c r="C237" t="s">
        <v>93</v>
      </c>
      <c r="D237" t="s">
        <v>55</v>
      </c>
      <c r="E237" t="s">
        <v>340</v>
      </c>
      <c r="F237" t="s">
        <v>341</v>
      </c>
      <c r="G237" t="s">
        <v>342</v>
      </c>
      <c r="H237" t="s">
        <v>343</v>
      </c>
      <c r="I237" t="s">
        <v>211</v>
      </c>
      <c r="J237" t="s">
        <v>212</v>
      </c>
      <c r="K237" t="s">
        <v>213</v>
      </c>
      <c r="L237" t="s">
        <v>186</v>
      </c>
      <c r="M237" t="s">
        <v>239</v>
      </c>
      <c r="N237" t="s">
        <v>240</v>
      </c>
      <c r="O237" t="s">
        <v>1241</v>
      </c>
      <c r="P237" t="s">
        <v>119</v>
      </c>
      <c r="Q237" t="s">
        <v>159</v>
      </c>
      <c r="R237" t="s">
        <v>160</v>
      </c>
      <c r="S237" t="s">
        <v>345</v>
      </c>
      <c r="T237" s="15">
        <v>47294</v>
      </c>
      <c r="U237">
        <v>352</v>
      </c>
      <c r="V237">
        <v>16</v>
      </c>
      <c r="W237" t="s">
        <v>70</v>
      </c>
      <c r="X237" t="s">
        <v>107</v>
      </c>
      <c r="Y237">
        <v>1</v>
      </c>
      <c r="Z237">
        <v>1</v>
      </c>
      <c r="AA237">
        <v>0</v>
      </c>
    </row>
    <row r="238" spans="1:27" x14ac:dyDescent="0.3">
      <c r="A238" t="s">
        <v>1242</v>
      </c>
      <c r="B238" s="15">
        <v>45752</v>
      </c>
      <c r="C238" t="s">
        <v>93</v>
      </c>
      <c r="D238" t="s">
        <v>55</v>
      </c>
      <c r="E238" t="s">
        <v>322</v>
      </c>
      <c r="F238" t="s">
        <v>375</v>
      </c>
      <c r="G238" t="s">
        <v>324</v>
      </c>
      <c r="H238" t="s">
        <v>325</v>
      </c>
      <c r="I238" t="s">
        <v>167</v>
      </c>
      <c r="J238" t="s">
        <v>326</v>
      </c>
      <c r="K238" t="s">
        <v>327</v>
      </c>
      <c r="L238" t="s">
        <v>63</v>
      </c>
      <c r="M238" t="s">
        <v>725</v>
      </c>
      <c r="N238" t="s">
        <v>726</v>
      </c>
      <c r="O238" t="s">
        <v>1243</v>
      </c>
      <c r="P238" t="s">
        <v>167</v>
      </c>
      <c r="Q238" t="s">
        <v>331</v>
      </c>
      <c r="R238" t="s">
        <v>332</v>
      </c>
      <c r="S238" t="s">
        <v>376</v>
      </c>
      <c r="T238" s="15">
        <v>47266</v>
      </c>
      <c r="U238">
        <v>350</v>
      </c>
      <c r="V238">
        <v>0.61</v>
      </c>
      <c r="W238" t="s">
        <v>70</v>
      </c>
      <c r="X238" t="s">
        <v>123</v>
      </c>
      <c r="Y238">
        <v>1</v>
      </c>
      <c r="Z238">
        <v>0</v>
      </c>
      <c r="AA238">
        <v>0</v>
      </c>
    </row>
    <row r="239" spans="1:27" x14ac:dyDescent="0.3">
      <c r="A239" t="s">
        <v>708</v>
      </c>
      <c r="B239" s="15">
        <v>45815</v>
      </c>
      <c r="C239" t="s">
        <v>497</v>
      </c>
      <c r="D239" t="s">
        <v>55</v>
      </c>
      <c r="E239" t="s">
        <v>597</v>
      </c>
      <c r="F239" t="s">
        <v>1244</v>
      </c>
      <c r="G239" t="s">
        <v>599</v>
      </c>
      <c r="H239" t="s">
        <v>600</v>
      </c>
      <c r="I239" t="s">
        <v>254</v>
      </c>
      <c r="J239" t="s">
        <v>139</v>
      </c>
      <c r="K239" t="s">
        <v>140</v>
      </c>
      <c r="L239" t="s">
        <v>186</v>
      </c>
      <c r="M239" t="s">
        <v>713</v>
      </c>
      <c r="N239" t="s">
        <v>714</v>
      </c>
      <c r="O239" t="s">
        <v>715</v>
      </c>
      <c r="P239" t="s">
        <v>82</v>
      </c>
      <c r="Q239" t="s">
        <v>604</v>
      </c>
      <c r="R239" t="s">
        <v>605</v>
      </c>
      <c r="S239" t="s">
        <v>1245</v>
      </c>
      <c r="T239" s="15">
        <v>46474</v>
      </c>
      <c r="U239">
        <v>344</v>
      </c>
      <c r="V239">
        <v>7.46</v>
      </c>
      <c r="W239" t="s">
        <v>70</v>
      </c>
      <c r="X239" t="s">
        <v>177</v>
      </c>
      <c r="Y239">
        <v>1</v>
      </c>
      <c r="Z239">
        <v>0</v>
      </c>
      <c r="AA239">
        <v>0</v>
      </c>
    </row>
    <row r="240" spans="1:27" x14ac:dyDescent="0.3">
      <c r="A240" t="s">
        <v>355</v>
      </c>
      <c r="B240" s="15">
        <v>45842</v>
      </c>
      <c r="C240" t="s">
        <v>93</v>
      </c>
      <c r="D240" t="s">
        <v>55</v>
      </c>
      <c r="E240" t="s">
        <v>858</v>
      </c>
      <c r="F240" t="s">
        <v>1246</v>
      </c>
      <c r="G240" t="s">
        <v>860</v>
      </c>
      <c r="H240" t="s">
        <v>1247</v>
      </c>
      <c r="I240" t="s">
        <v>254</v>
      </c>
      <c r="J240" t="s">
        <v>139</v>
      </c>
      <c r="K240" t="s">
        <v>140</v>
      </c>
      <c r="L240" t="s">
        <v>100</v>
      </c>
      <c r="M240" t="s">
        <v>101</v>
      </c>
      <c r="N240" t="s">
        <v>102</v>
      </c>
      <c r="O240" t="s">
        <v>360</v>
      </c>
      <c r="P240" t="s">
        <v>82</v>
      </c>
      <c r="Q240" t="s">
        <v>235</v>
      </c>
      <c r="R240" t="s">
        <v>236</v>
      </c>
      <c r="S240" t="s">
        <v>1248</v>
      </c>
      <c r="T240" s="15">
        <v>46415</v>
      </c>
      <c r="U240">
        <v>342</v>
      </c>
      <c r="V240">
        <v>8.4600000000000009</v>
      </c>
      <c r="W240" t="s">
        <v>70</v>
      </c>
      <c r="X240" t="s">
        <v>107</v>
      </c>
      <c r="Y240">
        <v>0</v>
      </c>
      <c r="Z240">
        <v>0</v>
      </c>
      <c r="AA240">
        <v>0</v>
      </c>
    </row>
    <row r="241" spans="1:27" x14ac:dyDescent="0.3">
      <c r="A241" t="s">
        <v>1249</v>
      </c>
      <c r="B241" s="15">
        <v>45752</v>
      </c>
      <c r="C241" t="s">
        <v>625</v>
      </c>
      <c r="D241" t="s">
        <v>55</v>
      </c>
      <c r="E241" t="s">
        <v>347</v>
      </c>
      <c r="F241" t="s">
        <v>1250</v>
      </c>
      <c r="G241" t="s">
        <v>349</v>
      </c>
      <c r="H241" t="s">
        <v>1220</v>
      </c>
      <c r="I241" t="s">
        <v>113</v>
      </c>
      <c r="J241" t="s">
        <v>114</v>
      </c>
      <c r="K241" t="s">
        <v>115</v>
      </c>
      <c r="L241" t="s">
        <v>87</v>
      </c>
      <c r="M241" t="s">
        <v>874</v>
      </c>
      <c r="N241" t="s">
        <v>875</v>
      </c>
      <c r="O241" t="s">
        <v>1251</v>
      </c>
      <c r="P241" t="s">
        <v>119</v>
      </c>
      <c r="Q241" t="s">
        <v>1056</v>
      </c>
      <c r="R241" t="s">
        <v>1057</v>
      </c>
      <c r="S241" t="s">
        <v>1252</v>
      </c>
      <c r="T241" s="15">
        <v>46293</v>
      </c>
      <c r="U241">
        <v>337</v>
      </c>
      <c r="V241">
        <v>13.79</v>
      </c>
      <c r="W241" t="s">
        <v>70</v>
      </c>
      <c r="X241" t="s">
        <v>123</v>
      </c>
      <c r="Y241">
        <v>1</v>
      </c>
      <c r="Z241">
        <v>0</v>
      </c>
      <c r="AA241">
        <v>0</v>
      </c>
    </row>
    <row r="242" spans="1:27" x14ac:dyDescent="0.3">
      <c r="A242" t="s">
        <v>1253</v>
      </c>
      <c r="B242" s="15">
        <v>45842</v>
      </c>
      <c r="C242" t="s">
        <v>497</v>
      </c>
      <c r="D242" t="s">
        <v>55</v>
      </c>
      <c r="E242" t="s">
        <v>701</v>
      </c>
      <c r="F242" t="s">
        <v>702</v>
      </c>
      <c r="G242" t="s">
        <v>703</v>
      </c>
      <c r="H242" t="s">
        <v>704</v>
      </c>
      <c r="I242" t="s">
        <v>254</v>
      </c>
      <c r="J242" t="s">
        <v>139</v>
      </c>
      <c r="K242" t="s">
        <v>140</v>
      </c>
      <c r="L242" t="s">
        <v>87</v>
      </c>
      <c r="M242" t="s">
        <v>1254</v>
      </c>
      <c r="N242" t="s">
        <v>1255</v>
      </c>
      <c r="O242" t="s">
        <v>1256</v>
      </c>
      <c r="P242" t="s">
        <v>82</v>
      </c>
      <c r="Q242" t="s">
        <v>705</v>
      </c>
      <c r="R242" t="s">
        <v>706</v>
      </c>
      <c r="S242" t="s">
        <v>707</v>
      </c>
      <c r="T242" s="15">
        <v>46415</v>
      </c>
      <c r="U242">
        <v>337</v>
      </c>
      <c r="V242">
        <v>7</v>
      </c>
      <c r="W242" t="s">
        <v>70</v>
      </c>
      <c r="X242" t="s">
        <v>107</v>
      </c>
      <c r="Y242">
        <v>1</v>
      </c>
      <c r="Z242">
        <v>0</v>
      </c>
      <c r="AA242">
        <v>0</v>
      </c>
    </row>
    <row r="243" spans="1:27" x14ac:dyDescent="0.3">
      <c r="A243" t="s">
        <v>142</v>
      </c>
      <c r="B243" s="15">
        <v>45931</v>
      </c>
      <c r="C243" t="s">
        <v>93</v>
      </c>
      <c r="D243" t="s">
        <v>55</v>
      </c>
      <c r="E243" t="s">
        <v>1257</v>
      </c>
      <c r="F243" t="s">
        <v>1258</v>
      </c>
      <c r="G243" t="s">
        <v>1259</v>
      </c>
      <c r="H243" t="s">
        <v>1260</v>
      </c>
      <c r="I243" t="s">
        <v>1261</v>
      </c>
      <c r="J243" t="s">
        <v>527</v>
      </c>
      <c r="K243" t="s">
        <v>528</v>
      </c>
      <c r="L243" t="s">
        <v>87</v>
      </c>
      <c r="M243" t="s">
        <v>88</v>
      </c>
      <c r="N243" t="s">
        <v>89</v>
      </c>
      <c r="O243" t="s">
        <v>150</v>
      </c>
      <c r="P243" t="s">
        <v>82</v>
      </c>
      <c r="Q243" t="s">
        <v>656</v>
      </c>
      <c r="R243" t="s">
        <v>657</v>
      </c>
      <c r="S243" t="s">
        <v>1262</v>
      </c>
      <c r="T243" s="15">
        <v>47631</v>
      </c>
      <c r="U243">
        <v>336</v>
      </c>
      <c r="V243">
        <v>2.25</v>
      </c>
      <c r="W243" t="s">
        <v>70</v>
      </c>
      <c r="X243" t="s">
        <v>85</v>
      </c>
      <c r="Y243">
        <v>1</v>
      </c>
      <c r="Z243">
        <v>0</v>
      </c>
      <c r="AA243">
        <v>0</v>
      </c>
    </row>
    <row r="244" spans="1:27" x14ac:dyDescent="0.3">
      <c r="A244" t="s">
        <v>397</v>
      </c>
      <c r="B244" s="15">
        <v>45931</v>
      </c>
      <c r="C244" t="s">
        <v>398</v>
      </c>
      <c r="D244" t="s">
        <v>55</v>
      </c>
      <c r="E244" t="s">
        <v>985</v>
      </c>
      <c r="F244" t="s">
        <v>1263</v>
      </c>
      <c r="G244" t="s">
        <v>987</v>
      </c>
      <c r="H244" t="s">
        <v>988</v>
      </c>
      <c r="I244" t="s">
        <v>989</v>
      </c>
      <c r="J244" t="s">
        <v>695</v>
      </c>
      <c r="K244" t="s">
        <v>696</v>
      </c>
      <c r="L244" t="s">
        <v>170</v>
      </c>
      <c r="M244" t="s">
        <v>171</v>
      </c>
      <c r="N244" t="s">
        <v>172</v>
      </c>
      <c r="O244" t="s">
        <v>399</v>
      </c>
      <c r="P244" t="s">
        <v>82</v>
      </c>
      <c r="Q244" t="s">
        <v>990</v>
      </c>
      <c r="R244" t="s">
        <v>991</v>
      </c>
      <c r="S244" t="s">
        <v>1264</v>
      </c>
      <c r="T244" s="15">
        <v>46721</v>
      </c>
      <c r="U244">
        <v>334</v>
      </c>
      <c r="V244">
        <v>12</v>
      </c>
      <c r="W244" t="s">
        <v>70</v>
      </c>
      <c r="X244" t="s">
        <v>85</v>
      </c>
      <c r="Y244">
        <v>1</v>
      </c>
      <c r="Z244">
        <v>0</v>
      </c>
      <c r="AA244">
        <v>0</v>
      </c>
    </row>
    <row r="245" spans="1:27" x14ac:dyDescent="0.3">
      <c r="A245" t="s">
        <v>1253</v>
      </c>
      <c r="B245" s="15">
        <v>45842</v>
      </c>
      <c r="C245" t="s">
        <v>497</v>
      </c>
      <c r="D245" t="s">
        <v>55</v>
      </c>
      <c r="E245" t="s">
        <v>597</v>
      </c>
      <c r="F245" t="s">
        <v>598</v>
      </c>
      <c r="G245" t="s">
        <v>599</v>
      </c>
      <c r="H245" t="s">
        <v>600</v>
      </c>
      <c r="I245" t="s">
        <v>254</v>
      </c>
      <c r="J245" t="s">
        <v>139</v>
      </c>
      <c r="K245" t="s">
        <v>140</v>
      </c>
      <c r="L245" t="s">
        <v>87</v>
      </c>
      <c r="M245" t="s">
        <v>1254</v>
      </c>
      <c r="N245" t="s">
        <v>1255</v>
      </c>
      <c r="O245" t="s">
        <v>1256</v>
      </c>
      <c r="P245" t="s">
        <v>82</v>
      </c>
      <c r="Q245" t="s">
        <v>604</v>
      </c>
      <c r="R245" t="s">
        <v>605</v>
      </c>
      <c r="S245" t="s">
        <v>606</v>
      </c>
      <c r="T245" s="15">
        <v>46474</v>
      </c>
      <c r="U245">
        <v>329</v>
      </c>
      <c r="V245">
        <v>7.46</v>
      </c>
      <c r="W245" t="s">
        <v>70</v>
      </c>
      <c r="X245" t="s">
        <v>107</v>
      </c>
      <c r="Y245">
        <v>1</v>
      </c>
      <c r="Z245">
        <v>0</v>
      </c>
      <c r="AA245">
        <v>0</v>
      </c>
    </row>
    <row r="246" spans="1:27" x14ac:dyDescent="0.3">
      <c r="A246" t="s">
        <v>1265</v>
      </c>
      <c r="B246" s="15">
        <v>45815</v>
      </c>
      <c r="C246" t="s">
        <v>1165</v>
      </c>
      <c r="D246" t="s">
        <v>55</v>
      </c>
      <c r="E246" t="s">
        <v>347</v>
      </c>
      <c r="F246" t="s">
        <v>1266</v>
      </c>
      <c r="G246" t="s">
        <v>349</v>
      </c>
      <c r="H246" t="s">
        <v>1267</v>
      </c>
      <c r="I246" t="s">
        <v>113</v>
      </c>
      <c r="J246" t="s">
        <v>114</v>
      </c>
      <c r="K246" t="s">
        <v>115</v>
      </c>
      <c r="L246" t="s">
        <v>63</v>
      </c>
      <c r="M246" t="s">
        <v>801</v>
      </c>
      <c r="N246" t="s">
        <v>802</v>
      </c>
      <c r="O246" t="s">
        <v>1268</v>
      </c>
      <c r="P246" t="s">
        <v>119</v>
      </c>
      <c r="Q246" t="s">
        <v>297</v>
      </c>
      <c r="R246" t="s">
        <v>298</v>
      </c>
      <c r="S246" t="s">
        <v>1269</v>
      </c>
      <c r="T246" s="15">
        <v>46140</v>
      </c>
      <c r="U246">
        <v>325</v>
      </c>
      <c r="V246">
        <v>39.659999999999997</v>
      </c>
      <c r="W246" t="s">
        <v>70</v>
      </c>
      <c r="X246" t="s">
        <v>177</v>
      </c>
      <c r="Y246">
        <v>1</v>
      </c>
      <c r="Z246">
        <v>0</v>
      </c>
      <c r="AA246">
        <v>0</v>
      </c>
    </row>
    <row r="247" spans="1:27" x14ac:dyDescent="0.3">
      <c r="A247" t="s">
        <v>72</v>
      </c>
      <c r="B247" s="15">
        <v>45931</v>
      </c>
      <c r="C247" t="s">
        <v>73</v>
      </c>
      <c r="D247" t="s">
        <v>55</v>
      </c>
      <c r="E247" t="s">
        <v>1270</v>
      </c>
      <c r="F247" t="s">
        <v>1271</v>
      </c>
      <c r="G247" t="s">
        <v>1272</v>
      </c>
      <c r="H247" t="s">
        <v>1273</v>
      </c>
      <c r="I247" t="s">
        <v>254</v>
      </c>
      <c r="J247" t="s">
        <v>139</v>
      </c>
      <c r="K247" t="s">
        <v>140</v>
      </c>
      <c r="L247" t="s">
        <v>63</v>
      </c>
      <c r="M247" t="s">
        <v>64</v>
      </c>
      <c r="N247" t="s">
        <v>65</v>
      </c>
      <c r="O247" t="s">
        <v>81</v>
      </c>
      <c r="P247" t="s">
        <v>82</v>
      </c>
      <c r="Q247" t="s">
        <v>1274</v>
      </c>
      <c r="R247" t="s">
        <v>1275</v>
      </c>
      <c r="S247" t="s">
        <v>1276</v>
      </c>
      <c r="T247" s="15">
        <v>46446</v>
      </c>
      <c r="U247">
        <v>324</v>
      </c>
      <c r="V247">
        <v>10.92</v>
      </c>
      <c r="W247" t="s">
        <v>70</v>
      </c>
      <c r="X247" t="s">
        <v>85</v>
      </c>
      <c r="Y247">
        <v>1</v>
      </c>
      <c r="Z247">
        <v>0</v>
      </c>
      <c r="AA247">
        <v>0</v>
      </c>
    </row>
    <row r="248" spans="1:27" x14ac:dyDescent="0.3">
      <c r="A248" t="s">
        <v>86</v>
      </c>
      <c r="B248" s="15">
        <v>45931</v>
      </c>
      <c r="C248" t="s">
        <v>93</v>
      </c>
      <c r="D248" t="s">
        <v>55</v>
      </c>
      <c r="E248" t="s">
        <v>1270</v>
      </c>
      <c r="F248" t="s">
        <v>1271</v>
      </c>
      <c r="G248" t="s">
        <v>1272</v>
      </c>
      <c r="H248" t="s">
        <v>1273</v>
      </c>
      <c r="I248" t="s">
        <v>254</v>
      </c>
      <c r="J248" t="s">
        <v>139</v>
      </c>
      <c r="K248" t="s">
        <v>140</v>
      </c>
      <c r="L248" t="s">
        <v>87</v>
      </c>
      <c r="M248" t="s">
        <v>88</v>
      </c>
      <c r="N248" t="s">
        <v>89</v>
      </c>
      <c r="O248" t="s">
        <v>90</v>
      </c>
      <c r="P248" t="s">
        <v>82</v>
      </c>
      <c r="Q248" t="s">
        <v>1274</v>
      </c>
      <c r="R248" t="s">
        <v>1275</v>
      </c>
      <c r="S248" t="s">
        <v>1276</v>
      </c>
      <c r="T248" s="15">
        <v>46446</v>
      </c>
      <c r="U248">
        <v>324</v>
      </c>
      <c r="V248">
        <v>10.92</v>
      </c>
      <c r="W248" t="s">
        <v>70</v>
      </c>
      <c r="X248" t="s">
        <v>85</v>
      </c>
      <c r="Y248">
        <v>1</v>
      </c>
      <c r="Z248">
        <v>0</v>
      </c>
      <c r="AA248">
        <v>0</v>
      </c>
    </row>
    <row r="249" spans="1:27" x14ac:dyDescent="0.3">
      <c r="A249" t="s">
        <v>1277</v>
      </c>
      <c r="B249" s="15">
        <v>45752</v>
      </c>
      <c r="C249" t="s">
        <v>625</v>
      </c>
      <c r="D249" t="s">
        <v>55</v>
      </c>
      <c r="E249" t="s">
        <v>1126</v>
      </c>
      <c r="F249" t="s">
        <v>1278</v>
      </c>
      <c r="G249" t="s">
        <v>1128</v>
      </c>
      <c r="H249" t="s">
        <v>1129</v>
      </c>
      <c r="I249" t="s">
        <v>113</v>
      </c>
      <c r="J249" t="s">
        <v>1130</v>
      </c>
      <c r="K249" t="s">
        <v>1131</v>
      </c>
      <c r="L249" t="s">
        <v>87</v>
      </c>
      <c r="M249" t="s">
        <v>632</v>
      </c>
      <c r="N249" t="s">
        <v>633</v>
      </c>
      <c r="O249" t="s">
        <v>1279</v>
      </c>
      <c r="P249" t="s">
        <v>119</v>
      </c>
      <c r="Q249" t="s">
        <v>584</v>
      </c>
      <c r="R249" t="s">
        <v>585</v>
      </c>
      <c r="S249" t="s">
        <v>1280</v>
      </c>
      <c r="T249" s="15">
        <v>46780</v>
      </c>
      <c r="U249">
        <v>321</v>
      </c>
      <c r="V249">
        <v>4.79</v>
      </c>
      <c r="W249" t="s">
        <v>70</v>
      </c>
      <c r="X249" t="s">
        <v>123</v>
      </c>
      <c r="Y249">
        <v>1</v>
      </c>
      <c r="Z249">
        <v>0</v>
      </c>
      <c r="AA249">
        <v>0</v>
      </c>
    </row>
    <row r="250" spans="1:27" x14ac:dyDescent="0.3">
      <c r="A250" t="s">
        <v>1281</v>
      </c>
      <c r="B250" s="15">
        <v>45752</v>
      </c>
      <c r="C250" t="s">
        <v>503</v>
      </c>
      <c r="D250" t="s">
        <v>55</v>
      </c>
      <c r="E250" t="s">
        <v>639</v>
      </c>
      <c r="F250" t="s">
        <v>640</v>
      </c>
      <c r="G250" t="s">
        <v>641</v>
      </c>
      <c r="H250" t="s">
        <v>642</v>
      </c>
      <c r="I250" t="s">
        <v>643</v>
      </c>
      <c r="J250" t="s">
        <v>644</v>
      </c>
      <c r="K250" t="s">
        <v>645</v>
      </c>
      <c r="L250" t="s">
        <v>87</v>
      </c>
      <c r="M250" t="s">
        <v>924</v>
      </c>
      <c r="N250" t="s">
        <v>925</v>
      </c>
      <c r="O250" t="s">
        <v>1282</v>
      </c>
      <c r="P250" t="s">
        <v>82</v>
      </c>
      <c r="Q250" t="s">
        <v>647</v>
      </c>
      <c r="R250" t="s">
        <v>648</v>
      </c>
      <c r="S250" t="s">
        <v>649</v>
      </c>
      <c r="T250" s="15">
        <v>46121</v>
      </c>
      <c r="U250">
        <v>321</v>
      </c>
      <c r="V250">
        <v>2.6</v>
      </c>
      <c r="W250" t="s">
        <v>70</v>
      </c>
      <c r="X250" t="s">
        <v>123</v>
      </c>
      <c r="Y250">
        <v>1</v>
      </c>
      <c r="Z250">
        <v>0</v>
      </c>
      <c r="AA250">
        <v>0</v>
      </c>
    </row>
    <row r="251" spans="1:27" x14ac:dyDescent="0.3">
      <c r="A251" t="s">
        <v>668</v>
      </c>
      <c r="B251" s="15">
        <v>45661</v>
      </c>
      <c r="C251" t="s">
        <v>497</v>
      </c>
      <c r="D251" t="s">
        <v>55</v>
      </c>
      <c r="E251" t="s">
        <v>454</v>
      </c>
      <c r="F251" t="s">
        <v>455</v>
      </c>
      <c r="G251" t="s">
        <v>456</v>
      </c>
      <c r="H251" t="s">
        <v>457</v>
      </c>
      <c r="I251" t="s">
        <v>458</v>
      </c>
      <c r="J251" t="s">
        <v>459</v>
      </c>
      <c r="K251" t="s">
        <v>460</v>
      </c>
      <c r="L251" t="s">
        <v>186</v>
      </c>
      <c r="M251" t="s">
        <v>674</v>
      </c>
      <c r="N251" t="s">
        <v>675</v>
      </c>
      <c r="O251" t="s">
        <v>676</v>
      </c>
      <c r="P251" t="s">
        <v>67</v>
      </c>
      <c r="Q251" t="s">
        <v>464</v>
      </c>
      <c r="R251" t="s">
        <v>465</v>
      </c>
      <c r="S251" t="s">
        <v>466</v>
      </c>
      <c r="T251" s="15">
        <v>47288</v>
      </c>
      <c r="U251">
        <v>321</v>
      </c>
      <c r="V251">
        <v>10.77</v>
      </c>
      <c r="W251" t="s">
        <v>70</v>
      </c>
      <c r="X251" t="s">
        <v>193</v>
      </c>
      <c r="Y251">
        <v>1</v>
      </c>
      <c r="Z251">
        <v>0</v>
      </c>
      <c r="AA251">
        <v>0</v>
      </c>
    </row>
    <row r="252" spans="1:27" x14ac:dyDescent="0.3">
      <c r="A252" t="s">
        <v>1283</v>
      </c>
      <c r="B252" s="15">
        <v>45661</v>
      </c>
      <c r="C252" t="s">
        <v>651</v>
      </c>
      <c r="D252" t="s">
        <v>55</v>
      </c>
      <c r="E252" t="s">
        <v>454</v>
      </c>
      <c r="F252" t="s">
        <v>455</v>
      </c>
      <c r="G252" t="s">
        <v>456</v>
      </c>
      <c r="H252" t="s">
        <v>457</v>
      </c>
      <c r="I252" t="s">
        <v>458</v>
      </c>
      <c r="J252" t="s">
        <v>459</v>
      </c>
      <c r="K252" t="s">
        <v>460</v>
      </c>
      <c r="L252" t="s">
        <v>186</v>
      </c>
      <c r="M252" t="s">
        <v>653</v>
      </c>
      <c r="N252" t="s">
        <v>654</v>
      </c>
      <c r="O252" t="s">
        <v>1284</v>
      </c>
      <c r="P252" t="s">
        <v>67</v>
      </c>
      <c r="Q252" t="s">
        <v>464</v>
      </c>
      <c r="R252" t="s">
        <v>465</v>
      </c>
      <c r="S252" t="s">
        <v>466</v>
      </c>
      <c r="T252" s="15">
        <v>47288</v>
      </c>
      <c r="U252">
        <v>321</v>
      </c>
      <c r="V252">
        <v>10.77</v>
      </c>
      <c r="W252" t="s">
        <v>70</v>
      </c>
      <c r="X252" t="s">
        <v>193</v>
      </c>
      <c r="Y252">
        <v>1</v>
      </c>
      <c r="Z252">
        <v>0</v>
      </c>
      <c r="AA252">
        <v>0</v>
      </c>
    </row>
    <row r="253" spans="1:27" x14ac:dyDescent="0.3">
      <c r="A253" t="s">
        <v>677</v>
      </c>
      <c r="B253" s="15">
        <v>45661</v>
      </c>
      <c r="C253" t="s">
        <v>95</v>
      </c>
      <c r="D253" t="s">
        <v>55</v>
      </c>
      <c r="E253" t="s">
        <v>454</v>
      </c>
      <c r="F253" t="s">
        <v>455</v>
      </c>
      <c r="G253" t="s">
        <v>456</v>
      </c>
      <c r="H253" t="s">
        <v>457</v>
      </c>
      <c r="I253" t="s">
        <v>458</v>
      </c>
      <c r="J253" t="s">
        <v>459</v>
      </c>
      <c r="K253" t="s">
        <v>460</v>
      </c>
      <c r="L253" t="s">
        <v>186</v>
      </c>
      <c r="M253" t="s">
        <v>678</v>
      </c>
      <c r="N253" t="s">
        <v>679</v>
      </c>
      <c r="O253" t="s">
        <v>680</v>
      </c>
      <c r="P253" t="s">
        <v>67</v>
      </c>
      <c r="Q253" t="s">
        <v>464</v>
      </c>
      <c r="R253" t="s">
        <v>465</v>
      </c>
      <c r="S253" t="s">
        <v>466</v>
      </c>
      <c r="T253" s="15">
        <v>47288</v>
      </c>
      <c r="U253">
        <v>321</v>
      </c>
      <c r="V253">
        <v>10.77</v>
      </c>
      <c r="W253" t="s">
        <v>70</v>
      </c>
      <c r="X253" t="s">
        <v>193</v>
      </c>
      <c r="Y253">
        <v>1</v>
      </c>
      <c r="Z253">
        <v>0</v>
      </c>
      <c r="AA253">
        <v>0</v>
      </c>
    </row>
    <row r="254" spans="1:27" x14ac:dyDescent="0.3">
      <c r="A254" t="s">
        <v>1285</v>
      </c>
      <c r="B254" s="15">
        <v>45661</v>
      </c>
      <c r="C254" t="s">
        <v>497</v>
      </c>
      <c r="D254" t="s">
        <v>55</v>
      </c>
      <c r="E254" t="s">
        <v>454</v>
      </c>
      <c r="F254" t="s">
        <v>455</v>
      </c>
      <c r="G254" t="s">
        <v>456</v>
      </c>
      <c r="H254" t="s">
        <v>457</v>
      </c>
      <c r="I254" t="s">
        <v>458</v>
      </c>
      <c r="J254" t="s">
        <v>459</v>
      </c>
      <c r="K254" t="s">
        <v>460</v>
      </c>
      <c r="L254" t="s">
        <v>660</v>
      </c>
      <c r="M254" t="s">
        <v>661</v>
      </c>
      <c r="N254" t="s">
        <v>662</v>
      </c>
      <c r="O254" t="s">
        <v>1286</v>
      </c>
      <c r="P254" t="s">
        <v>67</v>
      </c>
      <c r="Q254" t="s">
        <v>464</v>
      </c>
      <c r="R254" t="s">
        <v>465</v>
      </c>
      <c r="S254" t="s">
        <v>466</v>
      </c>
      <c r="T254" s="15">
        <v>47288</v>
      </c>
      <c r="U254">
        <v>321</v>
      </c>
      <c r="V254">
        <v>10.77</v>
      </c>
      <c r="W254" t="s">
        <v>70</v>
      </c>
      <c r="X254" t="s">
        <v>193</v>
      </c>
      <c r="Y254">
        <v>1</v>
      </c>
      <c r="Z254">
        <v>0</v>
      </c>
      <c r="AA254">
        <v>0</v>
      </c>
    </row>
    <row r="255" spans="1:27" x14ac:dyDescent="0.3">
      <c r="A255" t="s">
        <v>72</v>
      </c>
      <c r="B255" s="15">
        <v>45931</v>
      </c>
      <c r="C255" t="s">
        <v>73</v>
      </c>
      <c r="D255" t="s">
        <v>55</v>
      </c>
      <c r="E255" t="s">
        <v>1287</v>
      </c>
      <c r="F255" t="s">
        <v>1288</v>
      </c>
      <c r="G255" t="s">
        <v>1289</v>
      </c>
      <c r="H255" t="s">
        <v>1290</v>
      </c>
      <c r="I255" t="s">
        <v>254</v>
      </c>
      <c r="J255" t="s">
        <v>139</v>
      </c>
      <c r="K255" t="s">
        <v>140</v>
      </c>
      <c r="L255" t="s">
        <v>63</v>
      </c>
      <c r="M255" t="s">
        <v>64</v>
      </c>
      <c r="N255" t="s">
        <v>65</v>
      </c>
      <c r="O255" t="s">
        <v>81</v>
      </c>
      <c r="P255" t="s">
        <v>82</v>
      </c>
      <c r="Q255" t="s">
        <v>1291</v>
      </c>
      <c r="R255" t="s">
        <v>1292</v>
      </c>
      <c r="S255" t="s">
        <v>1293</v>
      </c>
      <c r="T255" s="15">
        <v>46323</v>
      </c>
      <c r="U255">
        <v>320</v>
      </c>
      <c r="V255">
        <v>8.9600000000000009</v>
      </c>
      <c r="W255" t="s">
        <v>70</v>
      </c>
      <c r="X255" t="s">
        <v>85</v>
      </c>
      <c r="Y255">
        <v>1</v>
      </c>
      <c r="Z255">
        <v>0</v>
      </c>
      <c r="AA255">
        <v>0</v>
      </c>
    </row>
    <row r="256" spans="1:27" x14ac:dyDescent="0.3">
      <c r="A256" t="s">
        <v>86</v>
      </c>
      <c r="B256" s="15">
        <v>45931</v>
      </c>
      <c r="C256" t="s">
        <v>93</v>
      </c>
      <c r="D256" t="s">
        <v>55</v>
      </c>
      <c r="E256" t="s">
        <v>1287</v>
      </c>
      <c r="F256" t="s">
        <v>1288</v>
      </c>
      <c r="G256" t="s">
        <v>1289</v>
      </c>
      <c r="H256" t="s">
        <v>1290</v>
      </c>
      <c r="I256" t="s">
        <v>254</v>
      </c>
      <c r="J256" t="s">
        <v>139</v>
      </c>
      <c r="K256" t="s">
        <v>140</v>
      </c>
      <c r="L256" t="s">
        <v>87</v>
      </c>
      <c r="M256" t="s">
        <v>88</v>
      </c>
      <c r="N256" t="s">
        <v>89</v>
      </c>
      <c r="O256" t="s">
        <v>90</v>
      </c>
      <c r="P256" t="s">
        <v>82</v>
      </c>
      <c r="Q256" t="s">
        <v>1291</v>
      </c>
      <c r="R256" t="s">
        <v>1292</v>
      </c>
      <c r="S256" t="s">
        <v>1293</v>
      </c>
      <c r="T256" s="15">
        <v>46323</v>
      </c>
      <c r="U256">
        <v>320</v>
      </c>
      <c r="V256">
        <v>8.9600000000000009</v>
      </c>
      <c r="W256" t="s">
        <v>70</v>
      </c>
      <c r="X256" t="s">
        <v>85</v>
      </c>
      <c r="Y256">
        <v>1</v>
      </c>
      <c r="Z256">
        <v>0</v>
      </c>
      <c r="AA256">
        <v>0</v>
      </c>
    </row>
    <row r="257" spans="1:27" x14ac:dyDescent="0.3">
      <c r="A257" t="s">
        <v>72</v>
      </c>
      <c r="B257" s="15">
        <v>45931</v>
      </c>
      <c r="C257" t="s">
        <v>73</v>
      </c>
      <c r="D257" t="s">
        <v>55</v>
      </c>
      <c r="E257" t="s">
        <v>1294</v>
      </c>
      <c r="F257" t="s">
        <v>1295</v>
      </c>
      <c r="G257" t="s">
        <v>1296</v>
      </c>
      <c r="H257" t="s">
        <v>1297</v>
      </c>
      <c r="I257" t="s">
        <v>128</v>
      </c>
      <c r="J257" t="s">
        <v>129</v>
      </c>
      <c r="K257" t="s">
        <v>130</v>
      </c>
      <c r="L257" t="s">
        <v>63</v>
      </c>
      <c r="M257" t="s">
        <v>64</v>
      </c>
      <c r="N257" t="s">
        <v>65</v>
      </c>
      <c r="O257" t="s">
        <v>81</v>
      </c>
      <c r="P257" t="s">
        <v>82</v>
      </c>
      <c r="Q257" t="s">
        <v>1298</v>
      </c>
      <c r="R257" t="s">
        <v>1299</v>
      </c>
      <c r="S257" t="s">
        <v>1300</v>
      </c>
      <c r="T257" s="15">
        <v>46446</v>
      </c>
      <c r="U257">
        <v>320</v>
      </c>
      <c r="V257">
        <v>18.91</v>
      </c>
      <c r="W257" t="s">
        <v>70</v>
      </c>
      <c r="X257" t="s">
        <v>85</v>
      </c>
      <c r="Y257">
        <v>1</v>
      </c>
      <c r="Z257">
        <v>0</v>
      </c>
      <c r="AA257">
        <v>0</v>
      </c>
    </row>
    <row r="258" spans="1:27" x14ac:dyDescent="0.3">
      <c r="A258" t="s">
        <v>86</v>
      </c>
      <c r="B258" s="15">
        <v>45931</v>
      </c>
      <c r="C258" t="s">
        <v>93</v>
      </c>
      <c r="D258" t="s">
        <v>55</v>
      </c>
      <c r="E258" t="s">
        <v>1294</v>
      </c>
      <c r="F258" t="s">
        <v>1295</v>
      </c>
      <c r="G258" t="s">
        <v>1296</v>
      </c>
      <c r="H258" t="s">
        <v>1297</v>
      </c>
      <c r="I258" t="s">
        <v>128</v>
      </c>
      <c r="J258" t="s">
        <v>129</v>
      </c>
      <c r="K258" t="s">
        <v>130</v>
      </c>
      <c r="L258" t="s">
        <v>87</v>
      </c>
      <c r="M258" t="s">
        <v>88</v>
      </c>
      <c r="N258" t="s">
        <v>89</v>
      </c>
      <c r="O258" t="s">
        <v>90</v>
      </c>
      <c r="P258" t="s">
        <v>82</v>
      </c>
      <c r="Q258" t="s">
        <v>1298</v>
      </c>
      <c r="R258" t="s">
        <v>1299</v>
      </c>
      <c r="S258" t="s">
        <v>1300</v>
      </c>
      <c r="T258" s="15">
        <v>46446</v>
      </c>
      <c r="U258">
        <v>320</v>
      </c>
      <c r="V258">
        <v>18.91</v>
      </c>
      <c r="W258" t="s">
        <v>70</v>
      </c>
      <c r="X258" t="s">
        <v>85</v>
      </c>
      <c r="Y258">
        <v>1</v>
      </c>
      <c r="Z258">
        <v>0</v>
      </c>
      <c r="AA258">
        <v>0</v>
      </c>
    </row>
    <row r="259" spans="1:27" x14ac:dyDescent="0.3">
      <c r="A259" t="s">
        <v>1301</v>
      </c>
      <c r="B259" s="15">
        <v>45842</v>
      </c>
      <c r="C259" t="s">
        <v>73</v>
      </c>
      <c r="D259" t="s">
        <v>55</v>
      </c>
      <c r="E259" t="s">
        <v>347</v>
      </c>
      <c r="F259" t="s">
        <v>1219</v>
      </c>
      <c r="G259" t="s">
        <v>349</v>
      </c>
      <c r="H259" t="s">
        <v>1220</v>
      </c>
      <c r="I259" t="s">
        <v>113</v>
      </c>
      <c r="J259" t="s">
        <v>114</v>
      </c>
      <c r="K259" t="s">
        <v>115</v>
      </c>
      <c r="L259" t="s">
        <v>87</v>
      </c>
      <c r="M259" t="s">
        <v>768</v>
      </c>
      <c r="N259" t="s">
        <v>769</v>
      </c>
      <c r="O259" t="s">
        <v>1302</v>
      </c>
      <c r="P259" t="s">
        <v>119</v>
      </c>
      <c r="Q259" t="s">
        <v>1221</v>
      </c>
      <c r="R259" t="s">
        <v>1222</v>
      </c>
      <c r="S259" t="s">
        <v>1223</v>
      </c>
      <c r="T259" s="15">
        <v>46293</v>
      </c>
      <c r="U259">
        <v>315</v>
      </c>
      <c r="V259">
        <v>11.21</v>
      </c>
      <c r="W259" t="s">
        <v>70</v>
      </c>
      <c r="X259" t="s">
        <v>107</v>
      </c>
      <c r="Y259">
        <v>1</v>
      </c>
      <c r="Z259">
        <v>0</v>
      </c>
      <c r="AA259">
        <v>0</v>
      </c>
    </row>
    <row r="260" spans="1:27" x14ac:dyDescent="0.3">
      <c r="A260" t="s">
        <v>1253</v>
      </c>
      <c r="B260" s="15">
        <v>45842</v>
      </c>
      <c r="C260" t="s">
        <v>497</v>
      </c>
      <c r="D260" t="s">
        <v>55</v>
      </c>
      <c r="E260" t="s">
        <v>1303</v>
      </c>
      <c r="F260" t="s">
        <v>969</v>
      </c>
      <c r="G260" t="s">
        <v>1304</v>
      </c>
      <c r="H260" t="s">
        <v>1305</v>
      </c>
      <c r="I260" t="s">
        <v>254</v>
      </c>
      <c r="J260" t="s">
        <v>139</v>
      </c>
      <c r="K260" t="s">
        <v>140</v>
      </c>
      <c r="L260" t="s">
        <v>87</v>
      </c>
      <c r="M260" t="s">
        <v>1254</v>
      </c>
      <c r="N260" t="s">
        <v>1255</v>
      </c>
      <c r="O260" t="s">
        <v>1256</v>
      </c>
      <c r="P260" t="s">
        <v>82</v>
      </c>
      <c r="Q260" t="s">
        <v>972</v>
      </c>
      <c r="R260" t="s">
        <v>973</v>
      </c>
      <c r="S260" t="s">
        <v>974</v>
      </c>
      <c r="T260" s="15">
        <v>46354</v>
      </c>
      <c r="U260">
        <v>313</v>
      </c>
      <c r="V260">
        <v>5.95</v>
      </c>
      <c r="W260" t="s">
        <v>70</v>
      </c>
      <c r="X260" t="s">
        <v>107</v>
      </c>
      <c r="Y260">
        <v>1</v>
      </c>
      <c r="Z260">
        <v>0</v>
      </c>
      <c r="AA260">
        <v>0</v>
      </c>
    </row>
    <row r="261" spans="1:27" x14ac:dyDescent="0.3">
      <c r="A261" t="s">
        <v>751</v>
      </c>
      <c r="B261" s="15">
        <v>45931</v>
      </c>
      <c r="C261" t="s">
        <v>503</v>
      </c>
      <c r="D261" t="s">
        <v>55</v>
      </c>
      <c r="E261" t="s">
        <v>154</v>
      </c>
      <c r="F261" t="s">
        <v>155</v>
      </c>
      <c r="G261" t="s">
        <v>156</v>
      </c>
      <c r="H261" t="s">
        <v>157</v>
      </c>
      <c r="I261" t="s">
        <v>158</v>
      </c>
      <c r="J261" t="s">
        <v>139</v>
      </c>
      <c r="K261" t="s">
        <v>140</v>
      </c>
      <c r="L261" t="s">
        <v>100</v>
      </c>
      <c r="M261" t="s">
        <v>752</v>
      </c>
      <c r="N261" t="s">
        <v>753</v>
      </c>
      <c r="O261" t="s">
        <v>754</v>
      </c>
      <c r="P261" t="s">
        <v>82</v>
      </c>
      <c r="Q261" t="s">
        <v>159</v>
      </c>
      <c r="R261" t="s">
        <v>160</v>
      </c>
      <c r="S261" t="s">
        <v>161</v>
      </c>
      <c r="T261" s="15">
        <v>47389</v>
      </c>
      <c r="U261">
        <v>310</v>
      </c>
      <c r="V261">
        <v>4.24</v>
      </c>
      <c r="W261" t="s">
        <v>70</v>
      </c>
      <c r="X261" t="s">
        <v>85</v>
      </c>
      <c r="Y261">
        <v>1</v>
      </c>
      <c r="Z261">
        <v>0</v>
      </c>
      <c r="AA261">
        <v>0</v>
      </c>
    </row>
    <row r="262" spans="1:27" x14ac:dyDescent="0.3">
      <c r="A262" t="s">
        <v>751</v>
      </c>
      <c r="B262" s="15">
        <v>45931</v>
      </c>
      <c r="C262" t="s">
        <v>503</v>
      </c>
      <c r="D262" t="s">
        <v>55</v>
      </c>
      <c r="E262" t="s">
        <v>1306</v>
      </c>
      <c r="F262" t="s">
        <v>1307</v>
      </c>
      <c r="G262" t="s">
        <v>1308</v>
      </c>
      <c r="H262" t="s">
        <v>1309</v>
      </c>
      <c r="I262" t="s">
        <v>1310</v>
      </c>
      <c r="J262" t="s">
        <v>1105</v>
      </c>
      <c r="K262" t="s">
        <v>1106</v>
      </c>
      <c r="L262" t="s">
        <v>100</v>
      </c>
      <c r="M262" t="s">
        <v>752</v>
      </c>
      <c r="N262" t="s">
        <v>753</v>
      </c>
      <c r="O262" t="s">
        <v>754</v>
      </c>
      <c r="P262" t="s">
        <v>82</v>
      </c>
      <c r="Q262" t="s">
        <v>900</v>
      </c>
      <c r="R262" t="s">
        <v>901</v>
      </c>
      <c r="S262" t="s">
        <v>1311</v>
      </c>
      <c r="T262" s="15">
        <v>46627</v>
      </c>
      <c r="U262">
        <v>310</v>
      </c>
      <c r="V262">
        <v>6.74</v>
      </c>
      <c r="W262" t="s">
        <v>70</v>
      </c>
      <c r="X262" t="s">
        <v>85</v>
      </c>
      <c r="Y262">
        <v>1</v>
      </c>
      <c r="Z262">
        <v>0</v>
      </c>
      <c r="AA262">
        <v>0</v>
      </c>
    </row>
    <row r="263" spans="1:27" x14ac:dyDescent="0.3">
      <c r="A263" t="s">
        <v>751</v>
      </c>
      <c r="B263" s="15">
        <v>45931</v>
      </c>
      <c r="C263" t="s">
        <v>503</v>
      </c>
      <c r="D263" t="s">
        <v>55</v>
      </c>
      <c r="E263" t="s">
        <v>1312</v>
      </c>
      <c r="F263" t="s">
        <v>1313</v>
      </c>
      <c r="G263" t="s">
        <v>1314</v>
      </c>
      <c r="H263" t="s">
        <v>1315</v>
      </c>
      <c r="I263" t="s">
        <v>1316</v>
      </c>
      <c r="J263" t="s">
        <v>1105</v>
      </c>
      <c r="K263" t="s">
        <v>1106</v>
      </c>
      <c r="L263" t="s">
        <v>100</v>
      </c>
      <c r="M263" t="s">
        <v>752</v>
      </c>
      <c r="N263" t="s">
        <v>753</v>
      </c>
      <c r="O263" t="s">
        <v>754</v>
      </c>
      <c r="P263" t="s">
        <v>82</v>
      </c>
      <c r="Q263" t="s">
        <v>1317</v>
      </c>
      <c r="R263" t="s">
        <v>1318</v>
      </c>
      <c r="S263" t="s">
        <v>1319</v>
      </c>
      <c r="T263" s="15">
        <v>46627</v>
      </c>
      <c r="U263">
        <v>310</v>
      </c>
      <c r="V263">
        <v>6.8</v>
      </c>
      <c r="W263" t="s">
        <v>70</v>
      </c>
      <c r="X263" t="s">
        <v>85</v>
      </c>
      <c r="Y263">
        <v>1</v>
      </c>
      <c r="Z263">
        <v>0</v>
      </c>
      <c r="AA263">
        <v>0</v>
      </c>
    </row>
    <row r="264" spans="1:27" x14ac:dyDescent="0.3">
      <c r="A264" t="s">
        <v>1320</v>
      </c>
      <c r="B264" s="15">
        <v>45752</v>
      </c>
      <c r="C264" t="s">
        <v>54</v>
      </c>
      <c r="D264" t="s">
        <v>55</v>
      </c>
      <c r="E264" t="s">
        <v>1086</v>
      </c>
      <c r="F264" t="s">
        <v>1321</v>
      </c>
      <c r="G264" t="s">
        <v>1088</v>
      </c>
      <c r="H264" t="s">
        <v>1089</v>
      </c>
      <c r="I264" t="s">
        <v>1021</v>
      </c>
      <c r="J264" t="s">
        <v>1022</v>
      </c>
      <c r="K264" t="s">
        <v>1023</v>
      </c>
      <c r="L264" t="s">
        <v>63</v>
      </c>
      <c r="M264" t="s">
        <v>214</v>
      </c>
      <c r="N264" t="s">
        <v>215</v>
      </c>
      <c r="O264" t="s">
        <v>1322</v>
      </c>
      <c r="P264" t="s">
        <v>67</v>
      </c>
      <c r="Q264" t="s">
        <v>1090</v>
      </c>
      <c r="R264" t="s">
        <v>1091</v>
      </c>
      <c r="S264" t="s">
        <v>1323</v>
      </c>
      <c r="T264" s="15">
        <v>47054</v>
      </c>
      <c r="U264">
        <v>309</v>
      </c>
      <c r="V264">
        <v>50</v>
      </c>
      <c r="W264" t="s">
        <v>70</v>
      </c>
      <c r="X264" t="s">
        <v>123</v>
      </c>
      <c r="Y264">
        <v>1</v>
      </c>
      <c r="Z264">
        <v>1</v>
      </c>
      <c r="AA264">
        <v>0</v>
      </c>
    </row>
    <row r="265" spans="1:27" x14ac:dyDescent="0.3">
      <c r="A265" t="s">
        <v>796</v>
      </c>
      <c r="B265" s="15">
        <v>45815</v>
      </c>
      <c r="C265" t="s">
        <v>93</v>
      </c>
      <c r="D265" t="s">
        <v>55</v>
      </c>
      <c r="E265" t="s">
        <v>617</v>
      </c>
      <c r="F265" t="s">
        <v>618</v>
      </c>
      <c r="G265" t="s">
        <v>619</v>
      </c>
      <c r="H265" t="s">
        <v>620</v>
      </c>
      <c r="I265" t="s">
        <v>167</v>
      </c>
      <c r="J265" t="s">
        <v>621</v>
      </c>
      <c r="K265" t="s">
        <v>622</v>
      </c>
      <c r="L265" t="s">
        <v>63</v>
      </c>
      <c r="M265" t="s">
        <v>801</v>
      </c>
      <c r="N265" t="s">
        <v>802</v>
      </c>
      <c r="O265" t="s">
        <v>803</v>
      </c>
      <c r="P265" t="s">
        <v>167</v>
      </c>
      <c r="Q265" t="s">
        <v>576</v>
      </c>
      <c r="R265" t="s">
        <v>577</v>
      </c>
      <c r="S265" t="s">
        <v>623</v>
      </c>
      <c r="T265" s="15">
        <v>46323</v>
      </c>
      <c r="U265">
        <v>308</v>
      </c>
      <c r="V265">
        <v>24.19</v>
      </c>
      <c r="W265" t="s">
        <v>70</v>
      </c>
      <c r="X265" t="s">
        <v>177</v>
      </c>
      <c r="Y265">
        <v>1</v>
      </c>
      <c r="Z265">
        <v>0</v>
      </c>
      <c r="AA265">
        <v>0</v>
      </c>
    </row>
    <row r="266" spans="1:27" x14ac:dyDescent="0.3">
      <c r="A266" t="s">
        <v>767</v>
      </c>
      <c r="B266" s="15">
        <v>45842</v>
      </c>
      <c r="C266" t="s">
        <v>73</v>
      </c>
      <c r="D266" t="s">
        <v>55</v>
      </c>
      <c r="E266" t="s">
        <v>1324</v>
      </c>
      <c r="F266" t="s">
        <v>1325</v>
      </c>
      <c r="G266" t="s">
        <v>1326</v>
      </c>
      <c r="H266" t="s">
        <v>1327</v>
      </c>
      <c r="I266" t="s">
        <v>1328</v>
      </c>
      <c r="J266" t="s">
        <v>1051</v>
      </c>
      <c r="K266" t="s">
        <v>1052</v>
      </c>
      <c r="L266" t="s">
        <v>87</v>
      </c>
      <c r="M266" t="s">
        <v>768</v>
      </c>
      <c r="N266" t="s">
        <v>769</v>
      </c>
      <c r="O266" t="s">
        <v>770</v>
      </c>
      <c r="P266" t="s">
        <v>82</v>
      </c>
      <c r="Q266" t="s">
        <v>1329</v>
      </c>
      <c r="R266" t="s">
        <v>1330</v>
      </c>
      <c r="S266" t="s">
        <v>1331</v>
      </c>
      <c r="T266" s="15">
        <v>46474</v>
      </c>
      <c r="U266">
        <v>307</v>
      </c>
      <c r="V266">
        <v>28</v>
      </c>
      <c r="W266" t="s">
        <v>70</v>
      </c>
      <c r="X266" t="s">
        <v>107</v>
      </c>
      <c r="Y266">
        <v>1</v>
      </c>
      <c r="Z266">
        <v>0</v>
      </c>
      <c r="AA266">
        <v>0</v>
      </c>
    </row>
    <row r="267" spans="1:27" x14ac:dyDescent="0.3">
      <c r="A267" t="s">
        <v>1332</v>
      </c>
      <c r="B267" s="15">
        <v>45752</v>
      </c>
      <c r="C267" t="s">
        <v>503</v>
      </c>
      <c r="D267" t="s">
        <v>55</v>
      </c>
      <c r="E267" t="s">
        <v>322</v>
      </c>
      <c r="F267" t="s">
        <v>375</v>
      </c>
      <c r="G267" t="s">
        <v>324</v>
      </c>
      <c r="H267" t="s">
        <v>325</v>
      </c>
      <c r="I267" t="s">
        <v>167</v>
      </c>
      <c r="J267" t="s">
        <v>326</v>
      </c>
      <c r="K267" t="s">
        <v>327</v>
      </c>
      <c r="L267" t="s">
        <v>63</v>
      </c>
      <c r="M267" t="s">
        <v>725</v>
      </c>
      <c r="N267" t="s">
        <v>726</v>
      </c>
      <c r="O267" t="s">
        <v>1333</v>
      </c>
      <c r="P267" t="s">
        <v>167</v>
      </c>
      <c r="Q267" t="s">
        <v>331</v>
      </c>
      <c r="R267" t="s">
        <v>332</v>
      </c>
      <c r="S267" t="s">
        <v>376</v>
      </c>
      <c r="T267" s="15">
        <v>47266</v>
      </c>
      <c r="U267">
        <v>300</v>
      </c>
      <c r="V267">
        <v>0.61</v>
      </c>
      <c r="W267" t="s">
        <v>70</v>
      </c>
      <c r="X267" t="s">
        <v>123</v>
      </c>
      <c r="Y267">
        <v>0</v>
      </c>
      <c r="Z267">
        <v>0</v>
      </c>
      <c r="AA267">
        <v>0</v>
      </c>
    </row>
    <row r="268" spans="1:27" x14ac:dyDescent="0.3">
      <c r="A268" t="s">
        <v>1334</v>
      </c>
      <c r="B268" s="15">
        <v>45752</v>
      </c>
      <c r="C268" t="s">
        <v>93</v>
      </c>
      <c r="D268" t="s">
        <v>55</v>
      </c>
      <c r="E268" t="s">
        <v>1335</v>
      </c>
      <c r="F268" t="s">
        <v>1336</v>
      </c>
      <c r="G268" t="s">
        <v>1337</v>
      </c>
      <c r="H268" t="s">
        <v>1338</v>
      </c>
      <c r="I268" t="s">
        <v>167</v>
      </c>
      <c r="J268" t="s">
        <v>591</v>
      </c>
      <c r="K268" t="s">
        <v>592</v>
      </c>
      <c r="L268" t="s">
        <v>63</v>
      </c>
      <c r="M268" t="s">
        <v>725</v>
      </c>
      <c r="N268" t="s">
        <v>726</v>
      </c>
      <c r="O268" t="s">
        <v>1339</v>
      </c>
      <c r="P268" t="s">
        <v>167</v>
      </c>
      <c r="Q268" t="s">
        <v>1340</v>
      </c>
      <c r="R268" t="s">
        <v>1341</v>
      </c>
      <c r="S268" t="s">
        <v>1342</v>
      </c>
      <c r="T268" s="15">
        <v>46293</v>
      </c>
      <c r="U268">
        <v>300</v>
      </c>
      <c r="V268">
        <v>13.5</v>
      </c>
      <c r="W268" t="s">
        <v>70</v>
      </c>
      <c r="X268" t="s">
        <v>123</v>
      </c>
      <c r="Y268">
        <v>1</v>
      </c>
      <c r="Z268">
        <v>0</v>
      </c>
      <c r="AA268">
        <v>0</v>
      </c>
    </row>
    <row r="269" spans="1:27" x14ac:dyDescent="0.3">
      <c r="A269" t="s">
        <v>1343</v>
      </c>
      <c r="B269" s="15">
        <v>45752</v>
      </c>
      <c r="C269" t="s">
        <v>1344</v>
      </c>
      <c r="D269" t="s">
        <v>55</v>
      </c>
      <c r="E269" t="s">
        <v>1345</v>
      </c>
      <c r="F269" t="s">
        <v>1346</v>
      </c>
      <c r="G269" t="s">
        <v>1347</v>
      </c>
      <c r="H269" t="s">
        <v>1348</v>
      </c>
      <c r="I269" t="s">
        <v>113</v>
      </c>
      <c r="J269" t="s">
        <v>225</v>
      </c>
      <c r="K269" t="s">
        <v>226</v>
      </c>
      <c r="L269" t="s">
        <v>63</v>
      </c>
      <c r="M269" t="s">
        <v>1349</v>
      </c>
      <c r="N269" t="s">
        <v>1350</v>
      </c>
      <c r="O269" t="s">
        <v>1351</v>
      </c>
      <c r="P269" t="s">
        <v>119</v>
      </c>
      <c r="Q269" t="s">
        <v>1352</v>
      </c>
      <c r="R269" t="s">
        <v>1353</v>
      </c>
      <c r="S269" t="s">
        <v>1354</v>
      </c>
      <c r="T269" s="15">
        <v>46354</v>
      </c>
      <c r="U269">
        <v>300</v>
      </c>
      <c r="V269">
        <v>228</v>
      </c>
      <c r="W269" t="s">
        <v>70</v>
      </c>
      <c r="X269" t="s">
        <v>123</v>
      </c>
      <c r="Y269">
        <v>1</v>
      </c>
      <c r="Z269">
        <v>0</v>
      </c>
      <c r="AA269">
        <v>0</v>
      </c>
    </row>
    <row r="270" spans="1:27" x14ac:dyDescent="0.3">
      <c r="A270" t="s">
        <v>1355</v>
      </c>
      <c r="B270" s="15">
        <v>45661</v>
      </c>
      <c r="C270" t="s">
        <v>73</v>
      </c>
      <c r="D270" t="s">
        <v>55</v>
      </c>
      <c r="E270" t="s">
        <v>259</v>
      </c>
      <c r="F270" t="s">
        <v>260</v>
      </c>
      <c r="G270" t="s">
        <v>261</v>
      </c>
      <c r="H270" t="s">
        <v>1356</v>
      </c>
      <c r="I270" t="s">
        <v>261</v>
      </c>
      <c r="J270" t="s">
        <v>263</v>
      </c>
      <c r="K270" t="s">
        <v>264</v>
      </c>
      <c r="L270" t="s">
        <v>186</v>
      </c>
      <c r="M270" t="s">
        <v>1357</v>
      </c>
      <c r="N270" t="s">
        <v>1358</v>
      </c>
      <c r="O270" t="s">
        <v>1359</v>
      </c>
      <c r="P270" t="s">
        <v>167</v>
      </c>
      <c r="Q270" t="s">
        <v>268</v>
      </c>
      <c r="R270" t="s">
        <v>269</v>
      </c>
      <c r="S270" t="s">
        <v>270</v>
      </c>
      <c r="T270" s="15">
        <v>46468</v>
      </c>
      <c r="U270">
        <v>300</v>
      </c>
      <c r="V270">
        <v>0.26</v>
      </c>
      <c r="W270" t="s">
        <v>70</v>
      </c>
      <c r="X270" t="s">
        <v>193</v>
      </c>
      <c r="Y270">
        <v>1</v>
      </c>
      <c r="Z270">
        <v>0</v>
      </c>
      <c r="AA270">
        <v>0</v>
      </c>
    </row>
    <row r="271" spans="1:27" x14ac:dyDescent="0.3">
      <c r="A271" t="s">
        <v>1360</v>
      </c>
      <c r="B271" s="15">
        <v>45842</v>
      </c>
      <c r="C271" t="s">
        <v>503</v>
      </c>
      <c r="D271" t="s">
        <v>55</v>
      </c>
      <c r="E271" t="s">
        <v>454</v>
      </c>
      <c r="F271" t="s">
        <v>455</v>
      </c>
      <c r="G271" t="s">
        <v>456</v>
      </c>
      <c r="H271" t="s">
        <v>457</v>
      </c>
      <c r="I271" t="s">
        <v>458</v>
      </c>
      <c r="J271" t="s">
        <v>459</v>
      </c>
      <c r="K271" t="s">
        <v>460</v>
      </c>
      <c r="L271" t="s">
        <v>170</v>
      </c>
      <c r="M271" t="s">
        <v>1361</v>
      </c>
      <c r="N271" t="s">
        <v>1362</v>
      </c>
      <c r="O271" t="s">
        <v>1363</v>
      </c>
      <c r="P271" t="s">
        <v>67</v>
      </c>
      <c r="Q271" t="s">
        <v>464</v>
      </c>
      <c r="R271" t="s">
        <v>465</v>
      </c>
      <c r="S271" t="s">
        <v>466</v>
      </c>
      <c r="T271" s="15">
        <v>47288</v>
      </c>
      <c r="U271">
        <v>300</v>
      </c>
      <c r="V271">
        <v>10.77</v>
      </c>
      <c r="W271" t="s">
        <v>70</v>
      </c>
      <c r="X271" t="s">
        <v>107</v>
      </c>
      <c r="Y271">
        <v>1</v>
      </c>
      <c r="Z271">
        <v>1</v>
      </c>
      <c r="AA271">
        <v>0</v>
      </c>
    </row>
    <row r="272" spans="1:27" x14ac:dyDescent="0.3">
      <c r="A272" t="s">
        <v>1364</v>
      </c>
      <c r="B272" s="15">
        <v>45842</v>
      </c>
      <c r="C272" t="s">
        <v>321</v>
      </c>
      <c r="D272" t="s">
        <v>55</v>
      </c>
      <c r="E272" t="s">
        <v>454</v>
      </c>
      <c r="F272" t="s">
        <v>455</v>
      </c>
      <c r="G272" t="s">
        <v>456</v>
      </c>
      <c r="H272" t="s">
        <v>457</v>
      </c>
      <c r="I272" t="s">
        <v>458</v>
      </c>
      <c r="J272" t="s">
        <v>459</v>
      </c>
      <c r="K272" t="s">
        <v>460</v>
      </c>
      <c r="L272" t="s">
        <v>170</v>
      </c>
      <c r="M272" t="s">
        <v>1361</v>
      </c>
      <c r="N272" t="s">
        <v>1362</v>
      </c>
      <c r="O272" t="s">
        <v>1365</v>
      </c>
      <c r="P272" t="s">
        <v>67</v>
      </c>
      <c r="Q272" t="s">
        <v>464</v>
      </c>
      <c r="R272" t="s">
        <v>465</v>
      </c>
      <c r="S272" t="s">
        <v>466</v>
      </c>
      <c r="T272" s="15">
        <v>47288</v>
      </c>
      <c r="U272">
        <v>300</v>
      </c>
      <c r="V272">
        <v>10.77</v>
      </c>
      <c r="W272" t="s">
        <v>70</v>
      </c>
      <c r="X272" t="s">
        <v>107</v>
      </c>
      <c r="Y272">
        <v>0</v>
      </c>
      <c r="Z272">
        <v>1</v>
      </c>
      <c r="AA272">
        <v>0</v>
      </c>
    </row>
    <row r="273" spans="1:27" x14ac:dyDescent="0.3">
      <c r="A273" t="s">
        <v>1366</v>
      </c>
      <c r="B273" s="15">
        <v>45842</v>
      </c>
      <c r="C273" t="s">
        <v>503</v>
      </c>
      <c r="D273" t="s">
        <v>55</v>
      </c>
      <c r="E273" t="s">
        <v>454</v>
      </c>
      <c r="F273" t="s">
        <v>455</v>
      </c>
      <c r="G273" t="s">
        <v>456</v>
      </c>
      <c r="H273" t="s">
        <v>457</v>
      </c>
      <c r="I273" t="s">
        <v>458</v>
      </c>
      <c r="J273" t="s">
        <v>459</v>
      </c>
      <c r="K273" t="s">
        <v>460</v>
      </c>
      <c r="L273" t="s">
        <v>170</v>
      </c>
      <c r="M273" t="s">
        <v>1361</v>
      </c>
      <c r="N273" t="s">
        <v>1362</v>
      </c>
      <c r="O273" t="s">
        <v>1367</v>
      </c>
      <c r="P273" t="s">
        <v>67</v>
      </c>
      <c r="Q273" t="s">
        <v>464</v>
      </c>
      <c r="R273" t="s">
        <v>465</v>
      </c>
      <c r="S273" t="s">
        <v>466</v>
      </c>
      <c r="T273" s="15">
        <v>47288</v>
      </c>
      <c r="U273">
        <v>300</v>
      </c>
      <c r="V273">
        <v>10.77</v>
      </c>
      <c r="W273" t="s">
        <v>70</v>
      </c>
      <c r="X273" t="s">
        <v>107</v>
      </c>
      <c r="Y273">
        <v>0</v>
      </c>
      <c r="Z273">
        <v>1</v>
      </c>
      <c r="AA273">
        <v>0</v>
      </c>
    </row>
    <row r="274" spans="1:27" x14ac:dyDescent="0.3">
      <c r="A274" t="s">
        <v>1368</v>
      </c>
      <c r="B274" s="15">
        <v>45842</v>
      </c>
      <c r="C274" t="s">
        <v>503</v>
      </c>
      <c r="D274" t="s">
        <v>55</v>
      </c>
      <c r="E274" t="s">
        <v>454</v>
      </c>
      <c r="F274" t="s">
        <v>455</v>
      </c>
      <c r="G274" t="s">
        <v>456</v>
      </c>
      <c r="H274" t="s">
        <v>457</v>
      </c>
      <c r="I274" t="s">
        <v>458</v>
      </c>
      <c r="J274" t="s">
        <v>459</v>
      </c>
      <c r="K274" t="s">
        <v>460</v>
      </c>
      <c r="L274" t="s">
        <v>170</v>
      </c>
      <c r="M274" t="s">
        <v>1361</v>
      </c>
      <c r="N274" t="s">
        <v>1362</v>
      </c>
      <c r="O274" t="s">
        <v>1369</v>
      </c>
      <c r="P274" t="s">
        <v>67</v>
      </c>
      <c r="Q274" t="s">
        <v>464</v>
      </c>
      <c r="R274" t="s">
        <v>465</v>
      </c>
      <c r="S274" t="s">
        <v>466</v>
      </c>
      <c r="T274" s="15">
        <v>47288</v>
      </c>
      <c r="U274">
        <v>300</v>
      </c>
      <c r="V274">
        <v>10.77</v>
      </c>
      <c r="W274" t="s">
        <v>70</v>
      </c>
      <c r="X274" t="s">
        <v>107</v>
      </c>
      <c r="Y274">
        <v>0</v>
      </c>
      <c r="Z274">
        <v>1</v>
      </c>
      <c r="AA274">
        <v>0</v>
      </c>
    </row>
    <row r="275" spans="1:27" x14ac:dyDescent="0.3">
      <c r="A275" t="s">
        <v>1370</v>
      </c>
      <c r="B275" s="15">
        <v>45842</v>
      </c>
      <c r="C275" t="s">
        <v>497</v>
      </c>
      <c r="D275" t="s">
        <v>55</v>
      </c>
      <c r="E275" t="s">
        <v>597</v>
      </c>
      <c r="F275" t="s">
        <v>598</v>
      </c>
      <c r="G275" t="s">
        <v>599</v>
      </c>
      <c r="H275" t="s">
        <v>600</v>
      </c>
      <c r="I275" t="s">
        <v>254</v>
      </c>
      <c r="J275" t="s">
        <v>139</v>
      </c>
      <c r="K275" t="s">
        <v>140</v>
      </c>
      <c r="L275" t="s">
        <v>718</v>
      </c>
      <c r="M275" t="s">
        <v>1192</v>
      </c>
      <c r="N275" t="s">
        <v>1193</v>
      </c>
      <c r="O275" t="s">
        <v>1371</v>
      </c>
      <c r="P275" t="s">
        <v>82</v>
      </c>
      <c r="Q275" t="s">
        <v>604</v>
      </c>
      <c r="R275" t="s">
        <v>605</v>
      </c>
      <c r="S275" t="s">
        <v>606</v>
      </c>
      <c r="T275" s="15">
        <v>46474</v>
      </c>
      <c r="U275">
        <v>300</v>
      </c>
      <c r="V275">
        <v>7.46</v>
      </c>
      <c r="W275" t="s">
        <v>70</v>
      </c>
      <c r="X275" t="s">
        <v>107</v>
      </c>
      <c r="Y275">
        <v>0</v>
      </c>
      <c r="Z275">
        <v>0</v>
      </c>
      <c r="AA275">
        <v>0</v>
      </c>
    </row>
    <row r="276" spans="1:27" x14ac:dyDescent="0.3">
      <c r="A276" t="s">
        <v>1372</v>
      </c>
      <c r="B276" s="15">
        <v>45815</v>
      </c>
      <c r="C276" t="s">
        <v>73</v>
      </c>
      <c r="D276" t="s">
        <v>55</v>
      </c>
      <c r="E276" t="s">
        <v>163</v>
      </c>
      <c r="F276" t="s">
        <v>164</v>
      </c>
      <c r="G276" t="s">
        <v>165</v>
      </c>
      <c r="H276" t="s">
        <v>166</v>
      </c>
      <c r="I276" t="s">
        <v>167</v>
      </c>
      <c r="J276" t="s">
        <v>168</v>
      </c>
      <c r="K276" t="s">
        <v>169</v>
      </c>
      <c r="L276" t="s">
        <v>87</v>
      </c>
      <c r="M276" t="s">
        <v>946</v>
      </c>
      <c r="N276" t="s">
        <v>947</v>
      </c>
      <c r="O276" t="s">
        <v>1373</v>
      </c>
      <c r="P276" t="s">
        <v>167</v>
      </c>
      <c r="Q276" t="s">
        <v>174</v>
      </c>
      <c r="R276" t="s">
        <v>175</v>
      </c>
      <c r="S276" t="s">
        <v>176</v>
      </c>
      <c r="T276" s="15">
        <v>46446</v>
      </c>
      <c r="U276">
        <v>300</v>
      </c>
      <c r="V276">
        <v>2.6</v>
      </c>
      <c r="W276" t="s">
        <v>70</v>
      </c>
      <c r="X276" t="s">
        <v>177</v>
      </c>
      <c r="Y276">
        <v>1</v>
      </c>
      <c r="Z276">
        <v>1</v>
      </c>
      <c r="AA276">
        <v>0</v>
      </c>
    </row>
    <row r="277" spans="1:27" x14ac:dyDescent="0.3">
      <c r="A277" t="s">
        <v>1374</v>
      </c>
      <c r="B277" s="15">
        <v>45815</v>
      </c>
      <c r="C277" t="s">
        <v>625</v>
      </c>
      <c r="D277" t="s">
        <v>55</v>
      </c>
      <c r="E277" t="s">
        <v>322</v>
      </c>
      <c r="F277" t="s">
        <v>375</v>
      </c>
      <c r="G277" t="s">
        <v>324</v>
      </c>
      <c r="H277" t="s">
        <v>325</v>
      </c>
      <c r="I277" t="s">
        <v>167</v>
      </c>
      <c r="J277" t="s">
        <v>326</v>
      </c>
      <c r="K277" t="s">
        <v>327</v>
      </c>
      <c r="L277" t="s">
        <v>87</v>
      </c>
      <c r="M277" t="s">
        <v>946</v>
      </c>
      <c r="N277" t="s">
        <v>947</v>
      </c>
      <c r="O277" t="s">
        <v>1375</v>
      </c>
      <c r="P277" t="s">
        <v>167</v>
      </c>
      <c r="Q277" t="s">
        <v>331</v>
      </c>
      <c r="R277" t="s">
        <v>332</v>
      </c>
      <c r="S277" t="s">
        <v>376</v>
      </c>
      <c r="T277" s="15">
        <v>47266</v>
      </c>
      <c r="U277">
        <v>300</v>
      </c>
      <c r="V277">
        <v>0.61</v>
      </c>
      <c r="W277" t="s">
        <v>70</v>
      </c>
      <c r="X277" t="s">
        <v>177</v>
      </c>
      <c r="Y277">
        <v>0</v>
      </c>
      <c r="Z277">
        <v>1</v>
      </c>
      <c r="AA277">
        <v>0</v>
      </c>
    </row>
    <row r="278" spans="1:27" x14ac:dyDescent="0.3">
      <c r="A278" t="s">
        <v>1376</v>
      </c>
      <c r="B278" s="15">
        <v>45815</v>
      </c>
      <c r="C278" t="s">
        <v>93</v>
      </c>
      <c r="D278" t="s">
        <v>55</v>
      </c>
      <c r="E278" t="s">
        <v>1377</v>
      </c>
      <c r="F278" t="s">
        <v>1378</v>
      </c>
      <c r="G278" t="s">
        <v>1379</v>
      </c>
      <c r="H278" t="s">
        <v>1380</v>
      </c>
      <c r="I278" t="s">
        <v>1381</v>
      </c>
      <c r="J278" t="s">
        <v>612</v>
      </c>
      <c r="K278" t="s">
        <v>613</v>
      </c>
      <c r="L278" t="s">
        <v>87</v>
      </c>
      <c r="M278" t="s">
        <v>946</v>
      </c>
      <c r="N278" t="s">
        <v>947</v>
      </c>
      <c r="O278" t="s">
        <v>1382</v>
      </c>
      <c r="P278" t="s">
        <v>67</v>
      </c>
      <c r="Q278" t="s">
        <v>614</v>
      </c>
      <c r="R278" t="s">
        <v>615</v>
      </c>
      <c r="S278" t="s">
        <v>1383</v>
      </c>
      <c r="T278" s="15">
        <v>46231</v>
      </c>
      <c r="U278">
        <v>300</v>
      </c>
      <c r="V278">
        <v>3.03</v>
      </c>
      <c r="W278" t="s">
        <v>70</v>
      </c>
      <c r="X278" t="s">
        <v>177</v>
      </c>
      <c r="Y278">
        <v>0</v>
      </c>
      <c r="Z278">
        <v>0</v>
      </c>
      <c r="AA278">
        <v>0</v>
      </c>
    </row>
    <row r="279" spans="1:27" x14ac:dyDescent="0.3">
      <c r="A279" t="s">
        <v>1384</v>
      </c>
      <c r="B279" s="15">
        <v>45815</v>
      </c>
      <c r="C279" t="s">
        <v>272</v>
      </c>
      <c r="D279" t="s">
        <v>55</v>
      </c>
      <c r="E279" t="s">
        <v>626</v>
      </c>
      <c r="F279" t="s">
        <v>627</v>
      </c>
      <c r="G279" t="s">
        <v>628</v>
      </c>
      <c r="H279" t="s">
        <v>629</v>
      </c>
      <c r="I279" t="s">
        <v>167</v>
      </c>
      <c r="J279" t="s">
        <v>630</v>
      </c>
      <c r="K279" t="s">
        <v>631</v>
      </c>
      <c r="L279" t="s">
        <v>87</v>
      </c>
      <c r="M279" t="s">
        <v>946</v>
      </c>
      <c r="N279" t="s">
        <v>947</v>
      </c>
      <c r="O279" t="s">
        <v>1385</v>
      </c>
      <c r="P279" t="s">
        <v>167</v>
      </c>
      <c r="Q279" t="s">
        <v>635</v>
      </c>
      <c r="R279" t="s">
        <v>636</v>
      </c>
      <c r="S279" t="s">
        <v>637</v>
      </c>
      <c r="T279" s="15">
        <v>46353</v>
      </c>
      <c r="U279">
        <v>300</v>
      </c>
      <c r="V279">
        <v>8.06</v>
      </c>
      <c r="W279" t="s">
        <v>70</v>
      </c>
      <c r="X279" t="s">
        <v>177</v>
      </c>
      <c r="Y279">
        <v>0</v>
      </c>
      <c r="Z279">
        <v>0</v>
      </c>
      <c r="AA279">
        <v>0</v>
      </c>
    </row>
    <row r="280" spans="1:27" x14ac:dyDescent="0.3">
      <c r="A280" t="s">
        <v>1386</v>
      </c>
      <c r="B280" s="15">
        <v>45815</v>
      </c>
      <c r="C280" t="s">
        <v>73</v>
      </c>
      <c r="D280" t="s">
        <v>55</v>
      </c>
      <c r="E280" t="s">
        <v>950</v>
      </c>
      <c r="F280" t="s">
        <v>951</v>
      </c>
      <c r="G280" t="s">
        <v>952</v>
      </c>
      <c r="H280" t="s">
        <v>953</v>
      </c>
      <c r="I280" t="s">
        <v>954</v>
      </c>
      <c r="J280" t="s">
        <v>955</v>
      </c>
      <c r="K280" t="s">
        <v>956</v>
      </c>
      <c r="L280" t="s">
        <v>87</v>
      </c>
      <c r="M280" t="s">
        <v>946</v>
      </c>
      <c r="N280" t="s">
        <v>947</v>
      </c>
      <c r="O280" t="s">
        <v>1387</v>
      </c>
      <c r="P280" t="s">
        <v>67</v>
      </c>
      <c r="Q280" t="s">
        <v>546</v>
      </c>
      <c r="R280" t="s">
        <v>547</v>
      </c>
      <c r="S280" t="s">
        <v>958</v>
      </c>
      <c r="T280" s="15">
        <v>47146</v>
      </c>
      <c r="U280">
        <v>300</v>
      </c>
      <c r="V280">
        <v>4.4000000000000004</v>
      </c>
      <c r="W280" t="s">
        <v>70</v>
      </c>
      <c r="X280" t="s">
        <v>177</v>
      </c>
      <c r="Y280">
        <v>0</v>
      </c>
      <c r="Z280">
        <v>0</v>
      </c>
      <c r="AA280">
        <v>0</v>
      </c>
    </row>
    <row r="281" spans="1:27" x14ac:dyDescent="0.3">
      <c r="A281" t="s">
        <v>1388</v>
      </c>
      <c r="B281" s="15">
        <v>45815</v>
      </c>
      <c r="C281" t="s">
        <v>272</v>
      </c>
      <c r="D281" t="s">
        <v>55</v>
      </c>
      <c r="E281" t="s">
        <v>1389</v>
      </c>
      <c r="F281" t="s">
        <v>1390</v>
      </c>
      <c r="G281" t="s">
        <v>1391</v>
      </c>
      <c r="H281" t="s">
        <v>1392</v>
      </c>
      <c r="I281" t="s">
        <v>1391</v>
      </c>
      <c r="J281" t="s">
        <v>1393</v>
      </c>
      <c r="K281" t="s">
        <v>1394</v>
      </c>
      <c r="L281" t="s">
        <v>186</v>
      </c>
      <c r="M281" t="s">
        <v>239</v>
      </c>
      <c r="N281" t="s">
        <v>240</v>
      </c>
      <c r="O281" t="s">
        <v>1395</v>
      </c>
      <c r="P281" t="s">
        <v>1396</v>
      </c>
      <c r="Q281" t="s">
        <v>1397</v>
      </c>
      <c r="R281" t="s">
        <v>1398</v>
      </c>
      <c r="S281" t="s">
        <v>1399</v>
      </c>
      <c r="T281" s="15">
        <v>47276</v>
      </c>
      <c r="U281">
        <v>300</v>
      </c>
      <c r="V281">
        <v>125</v>
      </c>
      <c r="W281" t="s">
        <v>70</v>
      </c>
      <c r="X281" t="s">
        <v>177</v>
      </c>
      <c r="Y281">
        <v>1</v>
      </c>
      <c r="Z281">
        <v>1</v>
      </c>
      <c r="AA281">
        <v>0</v>
      </c>
    </row>
    <row r="282" spans="1:27" x14ac:dyDescent="0.3">
      <c r="A282" t="s">
        <v>708</v>
      </c>
      <c r="B282" s="15">
        <v>45815</v>
      </c>
      <c r="C282" t="s">
        <v>497</v>
      </c>
      <c r="D282" t="s">
        <v>55</v>
      </c>
      <c r="E282" t="s">
        <v>809</v>
      </c>
      <c r="F282" t="s">
        <v>810</v>
      </c>
      <c r="G282" t="s">
        <v>811</v>
      </c>
      <c r="H282" t="s">
        <v>812</v>
      </c>
      <c r="I282" t="s">
        <v>813</v>
      </c>
      <c r="J282" t="s">
        <v>814</v>
      </c>
      <c r="K282" t="s">
        <v>815</v>
      </c>
      <c r="L282" t="s">
        <v>186</v>
      </c>
      <c r="M282" t="s">
        <v>713</v>
      </c>
      <c r="N282" t="s">
        <v>714</v>
      </c>
      <c r="O282" t="s">
        <v>715</v>
      </c>
      <c r="P282" t="s">
        <v>82</v>
      </c>
      <c r="Q282" t="s">
        <v>352</v>
      </c>
      <c r="R282" t="s">
        <v>353</v>
      </c>
      <c r="S282" t="s">
        <v>816</v>
      </c>
      <c r="T282" s="15">
        <v>46262</v>
      </c>
      <c r="U282">
        <v>300</v>
      </c>
      <c r="V282">
        <v>4.8600000000000003</v>
      </c>
      <c r="W282" t="s">
        <v>70</v>
      </c>
      <c r="X282" t="s">
        <v>177</v>
      </c>
      <c r="Y282">
        <v>1</v>
      </c>
      <c r="Z282">
        <v>0</v>
      </c>
      <c r="AA282">
        <v>0</v>
      </c>
    </row>
    <row r="283" spans="1:27" x14ac:dyDescent="0.3">
      <c r="A283" t="s">
        <v>765</v>
      </c>
      <c r="B283" s="15">
        <v>45815</v>
      </c>
      <c r="C283" t="s">
        <v>272</v>
      </c>
      <c r="D283" t="s">
        <v>55</v>
      </c>
      <c r="E283" t="s">
        <v>1400</v>
      </c>
      <c r="F283" t="s">
        <v>1401</v>
      </c>
      <c r="G283" t="s">
        <v>1402</v>
      </c>
      <c r="H283" t="s">
        <v>1403</v>
      </c>
      <c r="I283" t="s">
        <v>1404</v>
      </c>
      <c r="J283" t="s">
        <v>418</v>
      </c>
      <c r="K283" t="s">
        <v>419</v>
      </c>
      <c r="L283" t="s">
        <v>186</v>
      </c>
      <c r="M283" t="s">
        <v>239</v>
      </c>
      <c r="N283" t="s">
        <v>240</v>
      </c>
      <c r="O283" t="s">
        <v>766</v>
      </c>
      <c r="P283" t="s">
        <v>82</v>
      </c>
      <c r="Q283" t="s">
        <v>1405</v>
      </c>
      <c r="R283" t="s">
        <v>1406</v>
      </c>
      <c r="S283" t="s">
        <v>1407</v>
      </c>
      <c r="T283" s="15">
        <v>47480</v>
      </c>
      <c r="U283">
        <v>300</v>
      </c>
      <c r="V283">
        <v>172.83</v>
      </c>
      <c r="W283" t="s">
        <v>70</v>
      </c>
      <c r="X283" t="s">
        <v>177</v>
      </c>
      <c r="Y283">
        <v>1</v>
      </c>
      <c r="Z283">
        <v>0</v>
      </c>
      <c r="AA283">
        <v>0</v>
      </c>
    </row>
    <row r="284" spans="1:27" x14ac:dyDescent="0.3">
      <c r="A284" t="s">
        <v>1408</v>
      </c>
      <c r="B284" s="15">
        <v>45931</v>
      </c>
      <c r="C284" t="s">
        <v>54</v>
      </c>
      <c r="D284" t="s">
        <v>55</v>
      </c>
      <c r="E284" t="s">
        <v>1126</v>
      </c>
      <c r="F284" t="s">
        <v>1127</v>
      </c>
      <c r="G284" t="s">
        <v>1128</v>
      </c>
      <c r="H284" t="s">
        <v>1129</v>
      </c>
      <c r="I284" t="s">
        <v>113</v>
      </c>
      <c r="J284" t="s">
        <v>1130</v>
      </c>
      <c r="K284" t="s">
        <v>1131</v>
      </c>
      <c r="L284" t="s">
        <v>186</v>
      </c>
      <c r="M284" t="s">
        <v>1053</v>
      </c>
      <c r="N284" t="s">
        <v>1054</v>
      </c>
      <c r="O284" t="s">
        <v>1409</v>
      </c>
      <c r="P284" t="s">
        <v>119</v>
      </c>
      <c r="Q284" t="s">
        <v>584</v>
      </c>
      <c r="R284" t="s">
        <v>585</v>
      </c>
      <c r="S284" t="s">
        <v>1135</v>
      </c>
      <c r="T284" s="15">
        <v>47205</v>
      </c>
      <c r="U284">
        <v>300</v>
      </c>
      <c r="V284">
        <v>4.79</v>
      </c>
      <c r="W284" t="s">
        <v>70</v>
      </c>
      <c r="X284" t="s">
        <v>85</v>
      </c>
      <c r="Y284">
        <v>1</v>
      </c>
      <c r="Z284">
        <v>0</v>
      </c>
      <c r="AA284">
        <v>0</v>
      </c>
    </row>
    <row r="285" spans="1:27" x14ac:dyDescent="0.3">
      <c r="A285" t="s">
        <v>1410</v>
      </c>
      <c r="B285" s="15">
        <v>45931</v>
      </c>
      <c r="C285" t="s">
        <v>503</v>
      </c>
      <c r="D285" t="s">
        <v>55</v>
      </c>
      <c r="E285" t="s">
        <v>1411</v>
      </c>
      <c r="F285" t="s">
        <v>1412</v>
      </c>
      <c r="G285" t="s">
        <v>1413</v>
      </c>
      <c r="H285" t="s">
        <v>1414</v>
      </c>
      <c r="I285" t="s">
        <v>113</v>
      </c>
      <c r="J285" t="s">
        <v>1415</v>
      </c>
      <c r="K285" t="s">
        <v>1416</v>
      </c>
      <c r="L285" t="s">
        <v>100</v>
      </c>
      <c r="M285" t="s">
        <v>752</v>
      </c>
      <c r="N285" t="s">
        <v>753</v>
      </c>
      <c r="O285" t="s">
        <v>1417</v>
      </c>
      <c r="P285" t="s">
        <v>119</v>
      </c>
      <c r="Q285" t="s">
        <v>430</v>
      </c>
      <c r="R285" t="s">
        <v>431</v>
      </c>
      <c r="S285" t="s">
        <v>1418</v>
      </c>
      <c r="T285" s="15">
        <v>47511</v>
      </c>
      <c r="U285">
        <v>300</v>
      </c>
      <c r="V285">
        <v>28.5</v>
      </c>
      <c r="W285" t="s">
        <v>70</v>
      </c>
      <c r="X285" t="s">
        <v>85</v>
      </c>
      <c r="Y285">
        <v>1</v>
      </c>
      <c r="Z285">
        <v>0</v>
      </c>
      <c r="AA285">
        <v>0</v>
      </c>
    </row>
    <row r="286" spans="1:27" x14ac:dyDescent="0.3">
      <c r="A286" t="s">
        <v>1045</v>
      </c>
      <c r="B286" s="15">
        <v>45931</v>
      </c>
      <c r="C286" t="s">
        <v>54</v>
      </c>
      <c r="D286" t="s">
        <v>55</v>
      </c>
      <c r="E286" t="s">
        <v>1419</v>
      </c>
      <c r="F286" t="s">
        <v>1420</v>
      </c>
      <c r="G286" t="s">
        <v>1421</v>
      </c>
      <c r="H286" t="s">
        <v>1422</v>
      </c>
      <c r="I286" t="s">
        <v>643</v>
      </c>
      <c r="J286" t="s">
        <v>644</v>
      </c>
      <c r="K286" t="s">
        <v>645</v>
      </c>
      <c r="L286" t="s">
        <v>186</v>
      </c>
      <c r="M286" t="s">
        <v>1053</v>
      </c>
      <c r="N286" t="s">
        <v>1054</v>
      </c>
      <c r="O286" t="s">
        <v>1055</v>
      </c>
      <c r="P286" t="s">
        <v>82</v>
      </c>
      <c r="Q286" t="s">
        <v>1423</v>
      </c>
      <c r="R286" t="s">
        <v>1424</v>
      </c>
      <c r="S286" t="s">
        <v>1425</v>
      </c>
      <c r="T286" s="15">
        <v>46452</v>
      </c>
      <c r="U286">
        <v>300</v>
      </c>
      <c r="V286">
        <v>4</v>
      </c>
      <c r="W286" t="s">
        <v>70</v>
      </c>
      <c r="X286" t="s">
        <v>85</v>
      </c>
      <c r="Y286">
        <v>1</v>
      </c>
      <c r="Z286">
        <v>0</v>
      </c>
      <c r="AA286">
        <v>0</v>
      </c>
    </row>
    <row r="287" spans="1:27" x14ac:dyDescent="0.3">
      <c r="A287" t="s">
        <v>729</v>
      </c>
      <c r="B287" s="15">
        <v>45931</v>
      </c>
      <c r="C287" t="s">
        <v>272</v>
      </c>
      <c r="D287" t="s">
        <v>55</v>
      </c>
      <c r="E287" t="s">
        <v>387</v>
      </c>
      <c r="F287" t="s">
        <v>388</v>
      </c>
      <c r="G287" t="s">
        <v>389</v>
      </c>
      <c r="H287" t="s">
        <v>390</v>
      </c>
      <c r="I287" t="s">
        <v>391</v>
      </c>
      <c r="J287" t="s">
        <v>392</v>
      </c>
      <c r="K287" t="s">
        <v>393</v>
      </c>
      <c r="L287" t="s">
        <v>718</v>
      </c>
      <c r="M287" t="s">
        <v>730</v>
      </c>
      <c r="N287" t="s">
        <v>731</v>
      </c>
      <c r="O287" t="s">
        <v>732</v>
      </c>
      <c r="P287" t="s">
        <v>82</v>
      </c>
      <c r="Q287" t="s">
        <v>394</v>
      </c>
      <c r="R287" t="s">
        <v>395</v>
      </c>
      <c r="S287" t="s">
        <v>396</v>
      </c>
      <c r="T287" s="15">
        <v>47358</v>
      </c>
      <c r="U287">
        <v>300</v>
      </c>
      <c r="V287">
        <v>2.52</v>
      </c>
      <c r="W287" t="s">
        <v>70</v>
      </c>
      <c r="X287" t="s">
        <v>85</v>
      </c>
      <c r="Y287">
        <v>1</v>
      </c>
      <c r="Z287">
        <v>0</v>
      </c>
      <c r="AA287">
        <v>0</v>
      </c>
    </row>
    <row r="288" spans="1:27" x14ac:dyDescent="0.3">
      <c r="A288" t="s">
        <v>733</v>
      </c>
      <c r="B288" s="15">
        <v>45931</v>
      </c>
      <c r="C288" t="s">
        <v>179</v>
      </c>
      <c r="D288" t="s">
        <v>55</v>
      </c>
      <c r="E288" t="s">
        <v>387</v>
      </c>
      <c r="F288" t="s">
        <v>388</v>
      </c>
      <c r="G288" t="s">
        <v>389</v>
      </c>
      <c r="H288" t="s">
        <v>390</v>
      </c>
      <c r="I288" t="s">
        <v>391</v>
      </c>
      <c r="J288" t="s">
        <v>392</v>
      </c>
      <c r="K288" t="s">
        <v>393</v>
      </c>
      <c r="L288" t="s">
        <v>100</v>
      </c>
      <c r="M288" t="s">
        <v>734</v>
      </c>
      <c r="N288" t="s">
        <v>735</v>
      </c>
      <c r="O288" t="s">
        <v>736</v>
      </c>
      <c r="P288" t="s">
        <v>82</v>
      </c>
      <c r="Q288" t="s">
        <v>394</v>
      </c>
      <c r="R288" t="s">
        <v>395</v>
      </c>
      <c r="S288" t="s">
        <v>396</v>
      </c>
      <c r="T288" s="15">
        <v>47358</v>
      </c>
      <c r="U288">
        <v>300</v>
      </c>
      <c r="V288">
        <v>2.52</v>
      </c>
      <c r="W288" t="s">
        <v>70</v>
      </c>
      <c r="X288" t="s">
        <v>85</v>
      </c>
      <c r="Y288">
        <v>1</v>
      </c>
      <c r="Z288">
        <v>0</v>
      </c>
      <c r="AA288">
        <v>0</v>
      </c>
    </row>
    <row r="289" spans="1:27" x14ac:dyDescent="0.3">
      <c r="A289" t="s">
        <v>737</v>
      </c>
      <c r="B289" s="15">
        <v>45931</v>
      </c>
      <c r="C289" t="s">
        <v>93</v>
      </c>
      <c r="D289" t="s">
        <v>55</v>
      </c>
      <c r="E289" t="s">
        <v>387</v>
      </c>
      <c r="F289" t="s">
        <v>388</v>
      </c>
      <c r="G289" t="s">
        <v>389</v>
      </c>
      <c r="H289" t="s">
        <v>390</v>
      </c>
      <c r="I289" t="s">
        <v>391</v>
      </c>
      <c r="J289" t="s">
        <v>392</v>
      </c>
      <c r="K289" t="s">
        <v>393</v>
      </c>
      <c r="L289" t="s">
        <v>738</v>
      </c>
      <c r="M289" t="s">
        <v>739</v>
      </c>
      <c r="N289" t="s">
        <v>740</v>
      </c>
      <c r="O289" t="s">
        <v>741</v>
      </c>
      <c r="P289" t="s">
        <v>82</v>
      </c>
      <c r="Q289" t="s">
        <v>394</v>
      </c>
      <c r="R289" t="s">
        <v>395</v>
      </c>
      <c r="S289" t="s">
        <v>396</v>
      </c>
      <c r="T289" s="15">
        <v>47358</v>
      </c>
      <c r="U289">
        <v>300</v>
      </c>
      <c r="V289">
        <v>2.52</v>
      </c>
      <c r="W289" t="s">
        <v>70</v>
      </c>
      <c r="X289" t="s">
        <v>85</v>
      </c>
      <c r="Y289">
        <v>1</v>
      </c>
      <c r="Z289">
        <v>0</v>
      </c>
      <c r="AA289">
        <v>0</v>
      </c>
    </row>
    <row r="290" spans="1:27" x14ac:dyDescent="0.3">
      <c r="A290" t="s">
        <v>742</v>
      </c>
      <c r="B290" s="15">
        <v>45931</v>
      </c>
      <c r="C290" t="s">
        <v>743</v>
      </c>
      <c r="D290" t="s">
        <v>55</v>
      </c>
      <c r="E290" t="s">
        <v>387</v>
      </c>
      <c r="F290" t="s">
        <v>388</v>
      </c>
      <c r="G290" t="s">
        <v>389</v>
      </c>
      <c r="H290" t="s">
        <v>390</v>
      </c>
      <c r="I290" t="s">
        <v>391</v>
      </c>
      <c r="J290" t="s">
        <v>392</v>
      </c>
      <c r="K290" t="s">
        <v>393</v>
      </c>
      <c r="L290" t="s">
        <v>718</v>
      </c>
      <c r="M290" t="s">
        <v>719</v>
      </c>
      <c r="N290" t="s">
        <v>720</v>
      </c>
      <c r="O290" t="s">
        <v>744</v>
      </c>
      <c r="P290" t="s">
        <v>82</v>
      </c>
      <c r="Q290" t="s">
        <v>394</v>
      </c>
      <c r="R290" t="s">
        <v>395</v>
      </c>
      <c r="S290" t="s">
        <v>396</v>
      </c>
      <c r="T290" s="15">
        <v>47358</v>
      </c>
      <c r="U290">
        <v>300</v>
      </c>
      <c r="V290">
        <v>2.52</v>
      </c>
      <c r="W290" t="s">
        <v>70</v>
      </c>
      <c r="X290" t="s">
        <v>85</v>
      </c>
      <c r="Y290">
        <v>1</v>
      </c>
      <c r="Z290">
        <v>0</v>
      </c>
      <c r="AA290">
        <v>0</v>
      </c>
    </row>
    <row r="291" spans="1:27" x14ac:dyDescent="0.3">
      <c r="A291" t="s">
        <v>745</v>
      </c>
      <c r="B291" s="15">
        <v>45931</v>
      </c>
      <c r="C291" t="s">
        <v>95</v>
      </c>
      <c r="D291" t="s">
        <v>55</v>
      </c>
      <c r="E291" t="s">
        <v>387</v>
      </c>
      <c r="F291" t="s">
        <v>388</v>
      </c>
      <c r="G291" t="s">
        <v>389</v>
      </c>
      <c r="H291" t="s">
        <v>390</v>
      </c>
      <c r="I291" t="s">
        <v>391</v>
      </c>
      <c r="J291" t="s">
        <v>392</v>
      </c>
      <c r="K291" t="s">
        <v>393</v>
      </c>
      <c r="L291" t="s">
        <v>186</v>
      </c>
      <c r="M291" t="s">
        <v>504</v>
      </c>
      <c r="N291" t="s">
        <v>505</v>
      </c>
      <c r="O291" t="s">
        <v>746</v>
      </c>
      <c r="P291" t="s">
        <v>82</v>
      </c>
      <c r="Q291" t="s">
        <v>394</v>
      </c>
      <c r="R291" t="s">
        <v>395</v>
      </c>
      <c r="S291" t="s">
        <v>396</v>
      </c>
      <c r="T291" s="15">
        <v>47358</v>
      </c>
      <c r="U291">
        <v>300</v>
      </c>
      <c r="V291">
        <v>2.52</v>
      </c>
      <c r="W291" t="s">
        <v>70</v>
      </c>
      <c r="X291" t="s">
        <v>85</v>
      </c>
      <c r="Y291">
        <v>1</v>
      </c>
      <c r="Z291">
        <v>0</v>
      </c>
      <c r="AA291">
        <v>0</v>
      </c>
    </row>
    <row r="292" spans="1:27" x14ac:dyDescent="0.3">
      <c r="A292" t="s">
        <v>747</v>
      </c>
      <c r="B292" s="15">
        <v>45931</v>
      </c>
      <c r="C292" t="s">
        <v>93</v>
      </c>
      <c r="D292" t="s">
        <v>55</v>
      </c>
      <c r="E292" t="s">
        <v>387</v>
      </c>
      <c r="F292" t="s">
        <v>388</v>
      </c>
      <c r="G292" t="s">
        <v>389</v>
      </c>
      <c r="H292" t="s">
        <v>390</v>
      </c>
      <c r="I292" t="s">
        <v>391</v>
      </c>
      <c r="J292" t="s">
        <v>392</v>
      </c>
      <c r="K292" t="s">
        <v>393</v>
      </c>
      <c r="L292" t="s">
        <v>100</v>
      </c>
      <c r="M292" t="s">
        <v>748</v>
      </c>
      <c r="N292" t="s">
        <v>749</v>
      </c>
      <c r="O292" t="s">
        <v>750</v>
      </c>
      <c r="P292" t="s">
        <v>82</v>
      </c>
      <c r="Q292" t="s">
        <v>394</v>
      </c>
      <c r="R292" t="s">
        <v>395</v>
      </c>
      <c r="S292" t="s">
        <v>396</v>
      </c>
      <c r="T292" s="15">
        <v>47358</v>
      </c>
      <c r="U292">
        <v>300</v>
      </c>
      <c r="V292">
        <v>2.52</v>
      </c>
      <c r="W292" t="s">
        <v>70</v>
      </c>
      <c r="X292" t="s">
        <v>85</v>
      </c>
      <c r="Y292">
        <v>1</v>
      </c>
      <c r="Z292">
        <v>0</v>
      </c>
      <c r="AA292">
        <v>0</v>
      </c>
    </row>
    <row r="293" spans="1:27" x14ac:dyDescent="0.3">
      <c r="A293" t="s">
        <v>397</v>
      </c>
      <c r="B293" s="15">
        <v>45931</v>
      </c>
      <c r="C293" t="s">
        <v>398</v>
      </c>
      <c r="D293" t="s">
        <v>55</v>
      </c>
      <c r="E293" t="s">
        <v>771</v>
      </c>
      <c r="F293" t="s">
        <v>772</v>
      </c>
      <c r="G293" t="s">
        <v>773</v>
      </c>
      <c r="H293" t="s">
        <v>774</v>
      </c>
      <c r="I293" t="s">
        <v>775</v>
      </c>
      <c r="J293" t="s">
        <v>776</v>
      </c>
      <c r="K293" t="s">
        <v>777</v>
      </c>
      <c r="L293" t="s">
        <v>170</v>
      </c>
      <c r="M293" t="s">
        <v>171</v>
      </c>
      <c r="N293" t="s">
        <v>172</v>
      </c>
      <c r="O293" t="s">
        <v>399</v>
      </c>
      <c r="P293" t="s">
        <v>82</v>
      </c>
      <c r="Q293" t="s">
        <v>778</v>
      </c>
      <c r="R293" t="s">
        <v>779</v>
      </c>
      <c r="S293" t="s">
        <v>780</v>
      </c>
      <c r="T293" s="15">
        <v>47542</v>
      </c>
      <c r="U293">
        <v>300</v>
      </c>
      <c r="V293">
        <v>11.85</v>
      </c>
      <c r="W293" t="s">
        <v>70</v>
      </c>
      <c r="X293" t="s">
        <v>85</v>
      </c>
      <c r="Y293">
        <v>1</v>
      </c>
      <c r="Z293">
        <v>0</v>
      </c>
      <c r="AA293">
        <v>0</v>
      </c>
    </row>
    <row r="294" spans="1:27" x14ac:dyDescent="0.3">
      <c r="A294" t="s">
        <v>72</v>
      </c>
      <c r="B294" s="15">
        <v>45931</v>
      </c>
      <c r="C294" t="s">
        <v>73</v>
      </c>
      <c r="D294" t="s">
        <v>55</v>
      </c>
      <c r="E294" t="s">
        <v>1426</v>
      </c>
      <c r="F294" t="s">
        <v>1427</v>
      </c>
      <c r="G294" t="s">
        <v>1428</v>
      </c>
      <c r="H294" t="s">
        <v>1429</v>
      </c>
      <c r="I294" t="s">
        <v>138</v>
      </c>
      <c r="J294" t="s">
        <v>139</v>
      </c>
      <c r="K294" t="s">
        <v>140</v>
      </c>
      <c r="L294" t="s">
        <v>63</v>
      </c>
      <c r="M294" t="s">
        <v>64</v>
      </c>
      <c r="N294" t="s">
        <v>65</v>
      </c>
      <c r="O294" t="s">
        <v>81</v>
      </c>
      <c r="P294" t="s">
        <v>82</v>
      </c>
      <c r="Q294" t="s">
        <v>493</v>
      </c>
      <c r="R294" t="s">
        <v>494</v>
      </c>
      <c r="S294" t="s">
        <v>1430</v>
      </c>
      <c r="T294" s="15">
        <v>46505</v>
      </c>
      <c r="U294">
        <v>300</v>
      </c>
      <c r="V294">
        <v>13.57</v>
      </c>
      <c r="W294" t="s">
        <v>70</v>
      </c>
      <c r="X294" t="s">
        <v>85</v>
      </c>
      <c r="Y294">
        <v>1</v>
      </c>
      <c r="Z294">
        <v>0</v>
      </c>
      <c r="AA294">
        <v>0</v>
      </c>
    </row>
    <row r="295" spans="1:27" x14ac:dyDescent="0.3">
      <c r="A295" t="s">
        <v>86</v>
      </c>
      <c r="B295" s="15">
        <v>45931</v>
      </c>
      <c r="C295" t="s">
        <v>93</v>
      </c>
      <c r="D295" t="s">
        <v>55</v>
      </c>
      <c r="E295" t="s">
        <v>1426</v>
      </c>
      <c r="F295" t="s">
        <v>1427</v>
      </c>
      <c r="G295" t="s">
        <v>1428</v>
      </c>
      <c r="H295" t="s">
        <v>1429</v>
      </c>
      <c r="I295" t="s">
        <v>138</v>
      </c>
      <c r="J295" t="s">
        <v>139</v>
      </c>
      <c r="K295" t="s">
        <v>140</v>
      </c>
      <c r="L295" t="s">
        <v>87</v>
      </c>
      <c r="M295" t="s">
        <v>88</v>
      </c>
      <c r="N295" t="s">
        <v>89</v>
      </c>
      <c r="O295" t="s">
        <v>90</v>
      </c>
      <c r="P295" t="s">
        <v>82</v>
      </c>
      <c r="Q295" t="s">
        <v>493</v>
      </c>
      <c r="R295" t="s">
        <v>494</v>
      </c>
      <c r="S295" t="s">
        <v>1430</v>
      </c>
      <c r="T295" s="15">
        <v>46505</v>
      </c>
      <c r="U295">
        <v>300</v>
      </c>
      <c r="V295">
        <v>13.57</v>
      </c>
      <c r="W295" t="s">
        <v>70</v>
      </c>
      <c r="X295" t="s">
        <v>85</v>
      </c>
      <c r="Y295">
        <v>1</v>
      </c>
      <c r="Z295">
        <v>0</v>
      </c>
      <c r="AA295">
        <v>0</v>
      </c>
    </row>
    <row r="296" spans="1:27" x14ac:dyDescent="0.3">
      <c r="A296" t="s">
        <v>1431</v>
      </c>
      <c r="B296" s="15">
        <v>45931</v>
      </c>
      <c r="C296" t="s">
        <v>54</v>
      </c>
      <c r="D296" t="s">
        <v>55</v>
      </c>
      <c r="E296" t="s">
        <v>626</v>
      </c>
      <c r="F296" t="s">
        <v>1432</v>
      </c>
      <c r="G296" t="s">
        <v>628</v>
      </c>
      <c r="H296" t="s">
        <v>1433</v>
      </c>
      <c r="I296" t="s">
        <v>167</v>
      </c>
      <c r="J296" t="s">
        <v>630</v>
      </c>
      <c r="K296" t="s">
        <v>631</v>
      </c>
      <c r="L296" t="s">
        <v>186</v>
      </c>
      <c r="M296" t="s">
        <v>1053</v>
      </c>
      <c r="N296" t="s">
        <v>1054</v>
      </c>
      <c r="O296" t="s">
        <v>1434</v>
      </c>
      <c r="P296" t="s">
        <v>167</v>
      </c>
      <c r="Q296" t="s">
        <v>647</v>
      </c>
      <c r="R296" t="s">
        <v>648</v>
      </c>
      <c r="S296" t="s">
        <v>1435</v>
      </c>
      <c r="T296" s="15">
        <v>46293</v>
      </c>
      <c r="U296">
        <v>300</v>
      </c>
      <c r="V296">
        <v>43.78</v>
      </c>
      <c r="W296" t="s">
        <v>70</v>
      </c>
      <c r="X296" t="s">
        <v>85</v>
      </c>
      <c r="Y296">
        <v>1</v>
      </c>
      <c r="Z296">
        <v>0</v>
      </c>
      <c r="AA296">
        <v>0</v>
      </c>
    </row>
    <row r="297" spans="1:27" x14ac:dyDescent="0.3">
      <c r="A297" t="s">
        <v>1431</v>
      </c>
      <c r="B297" s="15">
        <v>45931</v>
      </c>
      <c r="C297" t="s">
        <v>54</v>
      </c>
      <c r="D297" t="s">
        <v>55</v>
      </c>
      <c r="E297" t="s">
        <v>626</v>
      </c>
      <c r="F297" t="s">
        <v>1436</v>
      </c>
      <c r="G297" t="s">
        <v>628</v>
      </c>
      <c r="H297" t="s">
        <v>1437</v>
      </c>
      <c r="I297" t="s">
        <v>167</v>
      </c>
      <c r="J297" t="s">
        <v>630</v>
      </c>
      <c r="K297" t="s">
        <v>631</v>
      </c>
      <c r="L297" t="s">
        <v>186</v>
      </c>
      <c r="M297" t="s">
        <v>1053</v>
      </c>
      <c r="N297" t="s">
        <v>1054</v>
      </c>
      <c r="O297" t="s">
        <v>1434</v>
      </c>
      <c r="P297" t="s">
        <v>167</v>
      </c>
      <c r="Q297" t="s">
        <v>762</v>
      </c>
      <c r="R297" t="s">
        <v>763</v>
      </c>
      <c r="S297" t="s">
        <v>1438</v>
      </c>
      <c r="T297" s="15">
        <v>46262</v>
      </c>
      <c r="U297">
        <v>300</v>
      </c>
      <c r="V297">
        <v>20</v>
      </c>
      <c r="W297" t="s">
        <v>70</v>
      </c>
      <c r="X297" t="s">
        <v>85</v>
      </c>
      <c r="Y297">
        <v>1</v>
      </c>
      <c r="Z297">
        <v>0</v>
      </c>
      <c r="AA297">
        <v>0</v>
      </c>
    </row>
    <row r="298" spans="1:27" x14ac:dyDescent="0.3">
      <c r="A298" t="s">
        <v>1431</v>
      </c>
      <c r="B298" s="15">
        <v>45931</v>
      </c>
      <c r="C298" t="s">
        <v>54</v>
      </c>
      <c r="D298" t="s">
        <v>55</v>
      </c>
      <c r="E298" t="s">
        <v>626</v>
      </c>
      <c r="F298" t="s">
        <v>1439</v>
      </c>
      <c r="G298" t="s">
        <v>628</v>
      </c>
      <c r="H298" t="s">
        <v>1440</v>
      </c>
      <c r="I298" t="s">
        <v>167</v>
      </c>
      <c r="J298" t="s">
        <v>630</v>
      </c>
      <c r="K298" t="s">
        <v>631</v>
      </c>
      <c r="L298" t="s">
        <v>186</v>
      </c>
      <c r="M298" t="s">
        <v>1053</v>
      </c>
      <c r="N298" t="s">
        <v>1054</v>
      </c>
      <c r="O298" t="s">
        <v>1434</v>
      </c>
      <c r="P298" t="s">
        <v>167</v>
      </c>
      <c r="Q298" t="s">
        <v>1441</v>
      </c>
      <c r="R298" t="s">
        <v>1442</v>
      </c>
      <c r="S298" t="s">
        <v>1443</v>
      </c>
      <c r="T298" s="15">
        <v>46330</v>
      </c>
      <c r="U298">
        <v>300</v>
      </c>
      <c r="V298">
        <v>7</v>
      </c>
      <c r="W298" t="s">
        <v>70</v>
      </c>
      <c r="X298" t="s">
        <v>85</v>
      </c>
      <c r="Y298">
        <v>1</v>
      </c>
      <c r="Z298">
        <v>0</v>
      </c>
      <c r="AA298">
        <v>0</v>
      </c>
    </row>
    <row r="299" spans="1:27" x14ac:dyDescent="0.3">
      <c r="A299" t="s">
        <v>1045</v>
      </c>
      <c r="B299" s="15">
        <v>45931</v>
      </c>
      <c r="C299" t="s">
        <v>54</v>
      </c>
      <c r="D299" t="s">
        <v>55</v>
      </c>
      <c r="E299" t="s">
        <v>1306</v>
      </c>
      <c r="F299" t="s">
        <v>1307</v>
      </c>
      <c r="G299" t="s">
        <v>1308</v>
      </c>
      <c r="H299" t="s">
        <v>1309</v>
      </c>
      <c r="I299" t="s">
        <v>1310</v>
      </c>
      <c r="J299" t="s">
        <v>1105</v>
      </c>
      <c r="K299" t="s">
        <v>1106</v>
      </c>
      <c r="L299" t="s">
        <v>186</v>
      </c>
      <c r="M299" t="s">
        <v>1053</v>
      </c>
      <c r="N299" t="s">
        <v>1054</v>
      </c>
      <c r="O299" t="s">
        <v>1055</v>
      </c>
      <c r="P299" t="s">
        <v>82</v>
      </c>
      <c r="Q299" t="s">
        <v>900</v>
      </c>
      <c r="R299" t="s">
        <v>901</v>
      </c>
      <c r="S299" t="s">
        <v>1311</v>
      </c>
      <c r="T299" s="15">
        <v>46627</v>
      </c>
      <c r="U299">
        <v>300</v>
      </c>
      <c r="V299">
        <v>6.74</v>
      </c>
      <c r="W299" t="s">
        <v>70</v>
      </c>
      <c r="X299" t="s">
        <v>85</v>
      </c>
      <c r="Y299">
        <v>1</v>
      </c>
      <c r="Z299">
        <v>0</v>
      </c>
      <c r="AA299">
        <v>0</v>
      </c>
    </row>
    <row r="300" spans="1:27" x14ac:dyDescent="0.3">
      <c r="A300" t="s">
        <v>729</v>
      </c>
      <c r="B300" s="15">
        <v>45931</v>
      </c>
      <c r="C300" t="s">
        <v>272</v>
      </c>
      <c r="D300" t="s">
        <v>55</v>
      </c>
      <c r="E300" t="s">
        <v>413</v>
      </c>
      <c r="F300" t="s">
        <v>414</v>
      </c>
      <c r="G300" t="s">
        <v>415</v>
      </c>
      <c r="H300" t="s">
        <v>416</v>
      </c>
      <c r="I300" t="s">
        <v>417</v>
      </c>
      <c r="J300" t="s">
        <v>418</v>
      </c>
      <c r="K300" t="s">
        <v>419</v>
      </c>
      <c r="L300" t="s">
        <v>718</v>
      </c>
      <c r="M300" t="s">
        <v>730</v>
      </c>
      <c r="N300" t="s">
        <v>731</v>
      </c>
      <c r="O300" t="s">
        <v>732</v>
      </c>
      <c r="P300" t="s">
        <v>82</v>
      </c>
      <c r="Q300" t="s">
        <v>420</v>
      </c>
      <c r="R300" t="s">
        <v>421</v>
      </c>
      <c r="S300" t="s">
        <v>422</v>
      </c>
      <c r="T300" s="15">
        <v>46719</v>
      </c>
      <c r="U300">
        <v>300</v>
      </c>
      <c r="V300">
        <v>3.9</v>
      </c>
      <c r="W300" t="s">
        <v>70</v>
      </c>
      <c r="X300" t="s">
        <v>85</v>
      </c>
      <c r="Y300">
        <v>1</v>
      </c>
      <c r="Z300">
        <v>0</v>
      </c>
      <c r="AA300">
        <v>0</v>
      </c>
    </row>
    <row r="301" spans="1:27" x14ac:dyDescent="0.3">
      <c r="A301" t="s">
        <v>733</v>
      </c>
      <c r="B301" s="15">
        <v>45931</v>
      </c>
      <c r="C301" t="s">
        <v>179</v>
      </c>
      <c r="D301" t="s">
        <v>55</v>
      </c>
      <c r="E301" t="s">
        <v>413</v>
      </c>
      <c r="F301" t="s">
        <v>414</v>
      </c>
      <c r="G301" t="s">
        <v>415</v>
      </c>
      <c r="H301" t="s">
        <v>416</v>
      </c>
      <c r="I301" t="s">
        <v>417</v>
      </c>
      <c r="J301" t="s">
        <v>418</v>
      </c>
      <c r="K301" t="s">
        <v>419</v>
      </c>
      <c r="L301" t="s">
        <v>100</v>
      </c>
      <c r="M301" t="s">
        <v>734</v>
      </c>
      <c r="N301" t="s">
        <v>735</v>
      </c>
      <c r="O301" t="s">
        <v>736</v>
      </c>
      <c r="P301" t="s">
        <v>82</v>
      </c>
      <c r="Q301" t="s">
        <v>420</v>
      </c>
      <c r="R301" t="s">
        <v>421</v>
      </c>
      <c r="S301" t="s">
        <v>422</v>
      </c>
      <c r="T301" s="15">
        <v>46719</v>
      </c>
      <c r="U301">
        <v>300</v>
      </c>
      <c r="V301">
        <v>3.9</v>
      </c>
      <c r="W301" t="s">
        <v>70</v>
      </c>
      <c r="X301" t="s">
        <v>85</v>
      </c>
      <c r="Y301">
        <v>1</v>
      </c>
      <c r="Z301">
        <v>0</v>
      </c>
      <c r="AA301">
        <v>0</v>
      </c>
    </row>
    <row r="302" spans="1:27" x14ac:dyDescent="0.3">
      <c r="A302" t="s">
        <v>737</v>
      </c>
      <c r="B302" s="15">
        <v>45931</v>
      </c>
      <c r="C302" t="s">
        <v>93</v>
      </c>
      <c r="D302" t="s">
        <v>55</v>
      </c>
      <c r="E302" t="s">
        <v>413</v>
      </c>
      <c r="F302" t="s">
        <v>414</v>
      </c>
      <c r="G302" t="s">
        <v>415</v>
      </c>
      <c r="H302" t="s">
        <v>416</v>
      </c>
      <c r="I302" t="s">
        <v>417</v>
      </c>
      <c r="J302" t="s">
        <v>418</v>
      </c>
      <c r="K302" t="s">
        <v>419</v>
      </c>
      <c r="L302" t="s">
        <v>738</v>
      </c>
      <c r="M302" t="s">
        <v>739</v>
      </c>
      <c r="N302" t="s">
        <v>740</v>
      </c>
      <c r="O302" t="s">
        <v>741</v>
      </c>
      <c r="P302" t="s">
        <v>82</v>
      </c>
      <c r="Q302" t="s">
        <v>420</v>
      </c>
      <c r="R302" t="s">
        <v>421</v>
      </c>
      <c r="S302" t="s">
        <v>422</v>
      </c>
      <c r="T302" s="15">
        <v>46719</v>
      </c>
      <c r="U302">
        <v>300</v>
      </c>
      <c r="V302">
        <v>3.9</v>
      </c>
      <c r="W302" t="s">
        <v>70</v>
      </c>
      <c r="X302" t="s">
        <v>85</v>
      </c>
      <c r="Y302">
        <v>1</v>
      </c>
      <c r="Z302">
        <v>0</v>
      </c>
      <c r="AA302">
        <v>0</v>
      </c>
    </row>
    <row r="303" spans="1:27" x14ac:dyDescent="0.3">
      <c r="A303" t="s">
        <v>742</v>
      </c>
      <c r="B303" s="15">
        <v>45931</v>
      </c>
      <c r="C303" t="s">
        <v>743</v>
      </c>
      <c r="D303" t="s">
        <v>55</v>
      </c>
      <c r="E303" t="s">
        <v>413</v>
      </c>
      <c r="F303" t="s">
        <v>414</v>
      </c>
      <c r="G303" t="s">
        <v>415</v>
      </c>
      <c r="H303" t="s">
        <v>416</v>
      </c>
      <c r="I303" t="s">
        <v>417</v>
      </c>
      <c r="J303" t="s">
        <v>418</v>
      </c>
      <c r="K303" t="s">
        <v>419</v>
      </c>
      <c r="L303" t="s">
        <v>718</v>
      </c>
      <c r="M303" t="s">
        <v>719</v>
      </c>
      <c r="N303" t="s">
        <v>720</v>
      </c>
      <c r="O303" t="s">
        <v>744</v>
      </c>
      <c r="P303" t="s">
        <v>82</v>
      </c>
      <c r="Q303" t="s">
        <v>420</v>
      </c>
      <c r="R303" t="s">
        <v>421</v>
      </c>
      <c r="S303" t="s">
        <v>422</v>
      </c>
      <c r="T303" s="15">
        <v>46719</v>
      </c>
      <c r="U303">
        <v>300</v>
      </c>
      <c r="V303">
        <v>3.9</v>
      </c>
      <c r="W303" t="s">
        <v>70</v>
      </c>
      <c r="X303" t="s">
        <v>85</v>
      </c>
      <c r="Y303">
        <v>1</v>
      </c>
      <c r="Z303">
        <v>0</v>
      </c>
      <c r="AA303">
        <v>0</v>
      </c>
    </row>
    <row r="304" spans="1:27" x14ac:dyDescent="0.3">
      <c r="A304" t="s">
        <v>745</v>
      </c>
      <c r="B304" s="15">
        <v>45931</v>
      </c>
      <c r="C304" t="s">
        <v>95</v>
      </c>
      <c r="D304" t="s">
        <v>55</v>
      </c>
      <c r="E304" t="s">
        <v>413</v>
      </c>
      <c r="F304" t="s">
        <v>414</v>
      </c>
      <c r="G304" t="s">
        <v>415</v>
      </c>
      <c r="H304" t="s">
        <v>416</v>
      </c>
      <c r="I304" t="s">
        <v>417</v>
      </c>
      <c r="J304" t="s">
        <v>418</v>
      </c>
      <c r="K304" t="s">
        <v>419</v>
      </c>
      <c r="L304" t="s">
        <v>186</v>
      </c>
      <c r="M304" t="s">
        <v>504</v>
      </c>
      <c r="N304" t="s">
        <v>505</v>
      </c>
      <c r="O304" t="s">
        <v>746</v>
      </c>
      <c r="P304" t="s">
        <v>82</v>
      </c>
      <c r="Q304" t="s">
        <v>420</v>
      </c>
      <c r="R304" t="s">
        <v>421</v>
      </c>
      <c r="S304" t="s">
        <v>422</v>
      </c>
      <c r="T304" s="15">
        <v>46719</v>
      </c>
      <c r="U304">
        <v>300</v>
      </c>
      <c r="V304">
        <v>3.9</v>
      </c>
      <c r="W304" t="s">
        <v>70</v>
      </c>
      <c r="X304" t="s">
        <v>85</v>
      </c>
      <c r="Y304">
        <v>1</v>
      </c>
      <c r="Z304">
        <v>0</v>
      </c>
      <c r="AA304">
        <v>0</v>
      </c>
    </row>
    <row r="305" spans="1:27" x14ac:dyDescent="0.3">
      <c r="A305" t="s">
        <v>747</v>
      </c>
      <c r="B305" s="15">
        <v>45931</v>
      </c>
      <c r="C305" t="s">
        <v>93</v>
      </c>
      <c r="D305" t="s">
        <v>55</v>
      </c>
      <c r="E305" t="s">
        <v>413</v>
      </c>
      <c r="F305" t="s">
        <v>414</v>
      </c>
      <c r="G305" t="s">
        <v>415</v>
      </c>
      <c r="H305" t="s">
        <v>416</v>
      </c>
      <c r="I305" t="s">
        <v>417</v>
      </c>
      <c r="J305" t="s">
        <v>418</v>
      </c>
      <c r="K305" t="s">
        <v>419</v>
      </c>
      <c r="L305" t="s">
        <v>100</v>
      </c>
      <c r="M305" t="s">
        <v>748</v>
      </c>
      <c r="N305" t="s">
        <v>749</v>
      </c>
      <c r="O305" t="s">
        <v>750</v>
      </c>
      <c r="P305" t="s">
        <v>82</v>
      </c>
      <c r="Q305" t="s">
        <v>420</v>
      </c>
      <c r="R305" t="s">
        <v>421</v>
      </c>
      <c r="S305" t="s">
        <v>422</v>
      </c>
      <c r="T305" s="15">
        <v>46719</v>
      </c>
      <c r="U305">
        <v>300</v>
      </c>
      <c r="V305">
        <v>3.9</v>
      </c>
      <c r="W305" t="s">
        <v>70</v>
      </c>
      <c r="X305" t="s">
        <v>85</v>
      </c>
      <c r="Y305">
        <v>1</v>
      </c>
      <c r="Z305">
        <v>0</v>
      </c>
      <c r="AA305">
        <v>0</v>
      </c>
    </row>
    <row r="306" spans="1:27" x14ac:dyDescent="0.3">
      <c r="A306" t="s">
        <v>1408</v>
      </c>
      <c r="B306" s="15">
        <v>45931</v>
      </c>
      <c r="C306" t="s">
        <v>54</v>
      </c>
      <c r="D306" t="s">
        <v>55</v>
      </c>
      <c r="E306" t="s">
        <v>347</v>
      </c>
      <c r="F306" t="s">
        <v>1444</v>
      </c>
      <c r="G306" t="s">
        <v>349</v>
      </c>
      <c r="H306" t="s">
        <v>1445</v>
      </c>
      <c r="I306" t="s">
        <v>113</v>
      </c>
      <c r="J306" t="s">
        <v>114</v>
      </c>
      <c r="K306" t="s">
        <v>115</v>
      </c>
      <c r="L306" t="s">
        <v>186</v>
      </c>
      <c r="M306" t="s">
        <v>1053</v>
      </c>
      <c r="N306" t="s">
        <v>1054</v>
      </c>
      <c r="O306" t="s">
        <v>1409</v>
      </c>
      <c r="P306" t="s">
        <v>119</v>
      </c>
      <c r="Q306" t="s">
        <v>1446</v>
      </c>
      <c r="R306" t="s">
        <v>1447</v>
      </c>
      <c r="S306" t="s">
        <v>1448</v>
      </c>
      <c r="T306" s="15">
        <v>46354</v>
      </c>
      <c r="U306">
        <v>300</v>
      </c>
      <c r="V306">
        <v>11.21</v>
      </c>
      <c r="W306" t="s">
        <v>70</v>
      </c>
      <c r="X306" t="s">
        <v>85</v>
      </c>
      <c r="Y306">
        <v>1</v>
      </c>
      <c r="Z306">
        <v>0</v>
      </c>
      <c r="AA306">
        <v>0</v>
      </c>
    </row>
    <row r="307" spans="1:27" x14ac:dyDescent="0.3">
      <c r="A307" t="s">
        <v>1449</v>
      </c>
      <c r="B307" s="15">
        <v>45918</v>
      </c>
      <c r="C307" t="s">
        <v>54</v>
      </c>
      <c r="D307" t="s">
        <v>55</v>
      </c>
      <c r="E307" t="s">
        <v>1450</v>
      </c>
      <c r="F307" t="s">
        <v>1451</v>
      </c>
      <c r="G307" t="s">
        <v>1452</v>
      </c>
      <c r="H307" t="s">
        <v>1453</v>
      </c>
      <c r="I307" t="s">
        <v>113</v>
      </c>
      <c r="J307" t="s">
        <v>872</v>
      </c>
      <c r="K307" t="s">
        <v>873</v>
      </c>
      <c r="L307" t="s">
        <v>718</v>
      </c>
      <c r="M307" t="s">
        <v>730</v>
      </c>
      <c r="N307" t="s">
        <v>731</v>
      </c>
      <c r="O307" t="s">
        <v>1454</v>
      </c>
      <c r="P307" t="s">
        <v>119</v>
      </c>
      <c r="Q307" t="s">
        <v>1455</v>
      </c>
      <c r="R307" t="s">
        <v>1456</v>
      </c>
      <c r="S307" t="s">
        <v>1457</v>
      </c>
      <c r="T307" s="15">
        <v>46497</v>
      </c>
      <c r="U307">
        <v>300</v>
      </c>
      <c r="V307">
        <v>3</v>
      </c>
      <c r="W307" t="s">
        <v>70</v>
      </c>
      <c r="X307" t="s">
        <v>71</v>
      </c>
      <c r="Y307">
        <v>1</v>
      </c>
      <c r="Z307">
        <v>0</v>
      </c>
      <c r="AA307">
        <v>0</v>
      </c>
    </row>
    <row r="308" spans="1:27" x14ac:dyDescent="0.3">
      <c r="A308" t="s">
        <v>1458</v>
      </c>
      <c r="B308" s="15">
        <v>45918</v>
      </c>
      <c r="C308" t="s">
        <v>54</v>
      </c>
      <c r="D308" t="s">
        <v>55</v>
      </c>
      <c r="E308" t="s">
        <v>250</v>
      </c>
      <c r="F308" t="s">
        <v>369</v>
      </c>
      <c r="G308" t="s">
        <v>252</v>
      </c>
      <c r="H308" t="s">
        <v>253</v>
      </c>
      <c r="I308" t="s">
        <v>254</v>
      </c>
      <c r="J308" t="s">
        <v>139</v>
      </c>
      <c r="K308" t="s">
        <v>140</v>
      </c>
      <c r="L308" t="s">
        <v>63</v>
      </c>
      <c r="M308" t="s">
        <v>64</v>
      </c>
      <c r="N308" t="s">
        <v>65</v>
      </c>
      <c r="O308" t="s">
        <v>1459</v>
      </c>
      <c r="P308" t="s">
        <v>82</v>
      </c>
      <c r="Q308" t="s">
        <v>255</v>
      </c>
      <c r="R308" t="s">
        <v>256</v>
      </c>
      <c r="S308" t="s">
        <v>370</v>
      </c>
      <c r="T308" s="15">
        <v>46474</v>
      </c>
      <c r="U308">
        <v>300</v>
      </c>
      <c r="V308">
        <v>8.4</v>
      </c>
      <c r="W308" t="s">
        <v>70</v>
      </c>
      <c r="X308" t="s">
        <v>71</v>
      </c>
      <c r="Y308">
        <v>1</v>
      </c>
      <c r="Z308">
        <v>1</v>
      </c>
      <c r="AA308">
        <v>0</v>
      </c>
    </row>
    <row r="309" spans="1:27" x14ac:dyDescent="0.3">
      <c r="A309" t="s">
        <v>1460</v>
      </c>
      <c r="B309" s="15">
        <v>45842</v>
      </c>
      <c r="C309" t="s">
        <v>321</v>
      </c>
      <c r="D309" t="s">
        <v>55</v>
      </c>
      <c r="E309" t="s">
        <v>639</v>
      </c>
      <c r="F309" t="s">
        <v>640</v>
      </c>
      <c r="G309" t="s">
        <v>641</v>
      </c>
      <c r="H309" t="s">
        <v>642</v>
      </c>
      <c r="I309" t="s">
        <v>643</v>
      </c>
      <c r="J309" t="s">
        <v>644</v>
      </c>
      <c r="K309" t="s">
        <v>645</v>
      </c>
      <c r="L309" t="s">
        <v>718</v>
      </c>
      <c r="M309" t="s">
        <v>1192</v>
      </c>
      <c r="N309" t="s">
        <v>1193</v>
      </c>
      <c r="O309" t="s">
        <v>1461</v>
      </c>
      <c r="P309" t="s">
        <v>82</v>
      </c>
      <c r="Q309" t="s">
        <v>647</v>
      </c>
      <c r="R309" t="s">
        <v>648</v>
      </c>
      <c r="S309" t="s">
        <v>649</v>
      </c>
      <c r="T309" s="15">
        <v>46121</v>
      </c>
      <c r="U309">
        <v>298</v>
      </c>
      <c r="V309">
        <v>2.6</v>
      </c>
      <c r="W309" t="s">
        <v>70</v>
      </c>
      <c r="X309" t="s">
        <v>107</v>
      </c>
      <c r="Y309">
        <v>1</v>
      </c>
      <c r="Z309">
        <v>0</v>
      </c>
      <c r="AA309">
        <v>0</v>
      </c>
    </row>
    <row r="310" spans="1:27" x14ac:dyDescent="0.3">
      <c r="A310" t="s">
        <v>596</v>
      </c>
      <c r="B310" s="15">
        <v>45842</v>
      </c>
      <c r="C310" t="s">
        <v>497</v>
      </c>
      <c r="D310" t="s">
        <v>55</v>
      </c>
      <c r="E310" t="s">
        <v>1462</v>
      </c>
      <c r="F310" t="s">
        <v>1463</v>
      </c>
      <c r="G310" t="s">
        <v>1464</v>
      </c>
      <c r="H310" t="s">
        <v>1465</v>
      </c>
      <c r="I310" t="s">
        <v>643</v>
      </c>
      <c r="J310" t="s">
        <v>644</v>
      </c>
      <c r="K310" t="s">
        <v>645</v>
      </c>
      <c r="L310" t="s">
        <v>87</v>
      </c>
      <c r="M310" t="s">
        <v>601</v>
      </c>
      <c r="N310" t="s">
        <v>602</v>
      </c>
      <c r="O310" t="s">
        <v>603</v>
      </c>
      <c r="P310" t="s">
        <v>82</v>
      </c>
      <c r="Q310" t="s">
        <v>635</v>
      </c>
      <c r="R310" t="s">
        <v>636</v>
      </c>
      <c r="S310" t="s">
        <v>1466</v>
      </c>
      <c r="T310" s="15">
        <v>46439</v>
      </c>
      <c r="U310">
        <v>296</v>
      </c>
      <c r="V310">
        <v>3.8</v>
      </c>
      <c r="W310" t="s">
        <v>70</v>
      </c>
      <c r="X310" t="s">
        <v>107</v>
      </c>
      <c r="Y310">
        <v>1</v>
      </c>
      <c r="Z310">
        <v>0</v>
      </c>
      <c r="AA310">
        <v>0</v>
      </c>
    </row>
    <row r="311" spans="1:27" x14ac:dyDescent="0.3">
      <c r="A311" t="s">
        <v>1467</v>
      </c>
      <c r="B311" s="15">
        <v>45918</v>
      </c>
      <c r="C311" t="s">
        <v>503</v>
      </c>
      <c r="D311" t="s">
        <v>55</v>
      </c>
      <c r="E311" t="s">
        <v>1468</v>
      </c>
      <c r="F311" t="s">
        <v>1469</v>
      </c>
      <c r="G311" t="s">
        <v>1470</v>
      </c>
      <c r="H311" t="s">
        <v>1471</v>
      </c>
      <c r="I311" t="s">
        <v>1472</v>
      </c>
      <c r="J311" t="s">
        <v>644</v>
      </c>
      <c r="K311" t="s">
        <v>645</v>
      </c>
      <c r="L311" t="s">
        <v>63</v>
      </c>
      <c r="M311" t="s">
        <v>1132</v>
      </c>
      <c r="N311" t="s">
        <v>1133</v>
      </c>
      <c r="O311" t="s">
        <v>1473</v>
      </c>
      <c r="P311" t="s">
        <v>82</v>
      </c>
      <c r="Q311" t="s">
        <v>614</v>
      </c>
      <c r="R311" t="s">
        <v>615</v>
      </c>
      <c r="S311" t="s">
        <v>1474</v>
      </c>
      <c r="T311" s="15">
        <v>46514</v>
      </c>
      <c r="U311">
        <v>296</v>
      </c>
      <c r="V311">
        <v>3</v>
      </c>
      <c r="W311" t="s">
        <v>70</v>
      </c>
      <c r="X311" t="s">
        <v>71</v>
      </c>
      <c r="Y311">
        <v>1</v>
      </c>
      <c r="Z311">
        <v>0</v>
      </c>
      <c r="AA311">
        <v>0</v>
      </c>
    </row>
    <row r="312" spans="1:27" x14ac:dyDescent="0.3">
      <c r="A312" t="s">
        <v>1475</v>
      </c>
      <c r="B312" s="15">
        <v>45918</v>
      </c>
      <c r="C312" t="s">
        <v>497</v>
      </c>
      <c r="D312" t="s">
        <v>55</v>
      </c>
      <c r="E312" t="s">
        <v>1468</v>
      </c>
      <c r="F312" t="s">
        <v>1469</v>
      </c>
      <c r="G312" t="s">
        <v>1470</v>
      </c>
      <c r="H312" t="s">
        <v>1471</v>
      </c>
      <c r="I312" t="s">
        <v>1472</v>
      </c>
      <c r="J312" t="s">
        <v>644</v>
      </c>
      <c r="K312" t="s">
        <v>645</v>
      </c>
      <c r="L312" t="s">
        <v>63</v>
      </c>
      <c r="M312" t="s">
        <v>1157</v>
      </c>
      <c r="N312" t="s">
        <v>1158</v>
      </c>
      <c r="O312" t="s">
        <v>1476</v>
      </c>
      <c r="P312" t="s">
        <v>82</v>
      </c>
      <c r="Q312" t="s">
        <v>614</v>
      </c>
      <c r="R312" t="s">
        <v>615</v>
      </c>
      <c r="S312" t="s">
        <v>1474</v>
      </c>
      <c r="T312" s="15">
        <v>46514</v>
      </c>
      <c r="U312">
        <v>296</v>
      </c>
      <c r="V312">
        <v>3</v>
      </c>
      <c r="W312" t="s">
        <v>70</v>
      </c>
      <c r="X312" t="s">
        <v>71</v>
      </c>
      <c r="Y312">
        <v>1</v>
      </c>
      <c r="Z312">
        <v>0</v>
      </c>
      <c r="AA312">
        <v>0</v>
      </c>
    </row>
    <row r="313" spans="1:27" x14ac:dyDescent="0.3">
      <c r="A313" t="s">
        <v>1477</v>
      </c>
      <c r="B313" s="15">
        <v>45918</v>
      </c>
      <c r="C313" t="s">
        <v>73</v>
      </c>
      <c r="D313" t="s">
        <v>55</v>
      </c>
      <c r="E313" t="s">
        <v>1468</v>
      </c>
      <c r="F313" t="s">
        <v>1469</v>
      </c>
      <c r="G313" t="s">
        <v>1470</v>
      </c>
      <c r="H313" t="s">
        <v>1471</v>
      </c>
      <c r="I313" t="s">
        <v>1472</v>
      </c>
      <c r="J313" t="s">
        <v>644</v>
      </c>
      <c r="K313" t="s">
        <v>645</v>
      </c>
      <c r="L313" t="s">
        <v>63</v>
      </c>
      <c r="M313" t="s">
        <v>1141</v>
      </c>
      <c r="N313" t="s">
        <v>1142</v>
      </c>
      <c r="O313" t="s">
        <v>1478</v>
      </c>
      <c r="P313" t="s">
        <v>82</v>
      </c>
      <c r="Q313" t="s">
        <v>614</v>
      </c>
      <c r="R313" t="s">
        <v>615</v>
      </c>
      <c r="S313" t="s">
        <v>1474</v>
      </c>
      <c r="T313" s="15">
        <v>46514</v>
      </c>
      <c r="U313">
        <v>296</v>
      </c>
      <c r="V313">
        <v>3</v>
      </c>
      <c r="W313" t="s">
        <v>70</v>
      </c>
      <c r="X313" t="s">
        <v>71</v>
      </c>
      <c r="Y313">
        <v>1</v>
      </c>
      <c r="Z313">
        <v>0</v>
      </c>
      <c r="AA313">
        <v>0</v>
      </c>
    </row>
    <row r="314" spans="1:27" x14ac:dyDescent="0.3">
      <c r="A314" t="s">
        <v>1479</v>
      </c>
      <c r="B314" s="15">
        <v>45918</v>
      </c>
      <c r="C314" t="s">
        <v>54</v>
      </c>
      <c r="D314" t="s">
        <v>55</v>
      </c>
      <c r="E314" t="s">
        <v>1468</v>
      </c>
      <c r="F314" t="s">
        <v>1469</v>
      </c>
      <c r="G314" t="s">
        <v>1470</v>
      </c>
      <c r="H314" t="s">
        <v>1471</v>
      </c>
      <c r="I314" t="s">
        <v>1472</v>
      </c>
      <c r="J314" t="s">
        <v>644</v>
      </c>
      <c r="K314" t="s">
        <v>645</v>
      </c>
      <c r="L314" t="s">
        <v>63</v>
      </c>
      <c r="M314" t="s">
        <v>1145</v>
      </c>
      <c r="N314" t="s">
        <v>1146</v>
      </c>
      <c r="O314" t="s">
        <v>1480</v>
      </c>
      <c r="P314" t="s">
        <v>82</v>
      </c>
      <c r="Q314" t="s">
        <v>614</v>
      </c>
      <c r="R314" t="s">
        <v>615</v>
      </c>
      <c r="S314" t="s">
        <v>1474</v>
      </c>
      <c r="T314" s="15">
        <v>46514</v>
      </c>
      <c r="U314">
        <v>296</v>
      </c>
      <c r="V314">
        <v>3</v>
      </c>
      <c r="W314" t="s">
        <v>70</v>
      </c>
      <c r="X314" t="s">
        <v>71</v>
      </c>
      <c r="Y314">
        <v>1</v>
      </c>
      <c r="Z314">
        <v>0</v>
      </c>
      <c r="AA314">
        <v>0</v>
      </c>
    </row>
    <row r="315" spans="1:27" x14ac:dyDescent="0.3">
      <c r="A315" t="s">
        <v>1481</v>
      </c>
      <c r="B315" s="15">
        <v>45918</v>
      </c>
      <c r="C315" t="s">
        <v>179</v>
      </c>
      <c r="D315" t="s">
        <v>55</v>
      </c>
      <c r="E315" t="s">
        <v>1468</v>
      </c>
      <c r="F315" t="s">
        <v>1469</v>
      </c>
      <c r="G315" t="s">
        <v>1470</v>
      </c>
      <c r="H315" t="s">
        <v>1471</v>
      </c>
      <c r="I315" t="s">
        <v>1472</v>
      </c>
      <c r="J315" t="s">
        <v>644</v>
      </c>
      <c r="K315" t="s">
        <v>645</v>
      </c>
      <c r="L315" t="s">
        <v>63</v>
      </c>
      <c r="M315" t="s">
        <v>1153</v>
      </c>
      <c r="N315" t="s">
        <v>1154</v>
      </c>
      <c r="O315" t="s">
        <v>1482</v>
      </c>
      <c r="P315" t="s">
        <v>82</v>
      </c>
      <c r="Q315" t="s">
        <v>614</v>
      </c>
      <c r="R315" t="s">
        <v>615</v>
      </c>
      <c r="S315" t="s">
        <v>1474</v>
      </c>
      <c r="T315" s="15">
        <v>46514</v>
      </c>
      <c r="U315">
        <v>296</v>
      </c>
      <c r="V315">
        <v>3</v>
      </c>
      <c r="W315" t="s">
        <v>70</v>
      </c>
      <c r="X315" t="s">
        <v>71</v>
      </c>
      <c r="Y315">
        <v>1</v>
      </c>
      <c r="Z315">
        <v>0</v>
      </c>
      <c r="AA315">
        <v>0</v>
      </c>
    </row>
    <row r="316" spans="1:27" x14ac:dyDescent="0.3">
      <c r="A316" t="s">
        <v>1483</v>
      </c>
      <c r="B316" s="15">
        <v>45918</v>
      </c>
      <c r="C316" t="s">
        <v>93</v>
      </c>
      <c r="D316" t="s">
        <v>55</v>
      </c>
      <c r="E316" t="s">
        <v>1468</v>
      </c>
      <c r="F316" t="s">
        <v>1469</v>
      </c>
      <c r="G316" t="s">
        <v>1470</v>
      </c>
      <c r="H316" t="s">
        <v>1471</v>
      </c>
      <c r="I316" t="s">
        <v>1472</v>
      </c>
      <c r="J316" t="s">
        <v>644</v>
      </c>
      <c r="K316" t="s">
        <v>645</v>
      </c>
      <c r="L316" t="s">
        <v>660</v>
      </c>
      <c r="M316" t="s">
        <v>1149</v>
      </c>
      <c r="N316" t="s">
        <v>1150</v>
      </c>
      <c r="O316" t="s">
        <v>1484</v>
      </c>
      <c r="P316" t="s">
        <v>82</v>
      </c>
      <c r="Q316" t="s">
        <v>614</v>
      </c>
      <c r="R316" t="s">
        <v>615</v>
      </c>
      <c r="S316" t="s">
        <v>1474</v>
      </c>
      <c r="T316" s="15">
        <v>46514</v>
      </c>
      <c r="U316">
        <v>296</v>
      </c>
      <c r="V316">
        <v>3</v>
      </c>
      <c r="W316" t="s">
        <v>70</v>
      </c>
      <c r="X316" t="s">
        <v>71</v>
      </c>
      <c r="Y316">
        <v>1</v>
      </c>
      <c r="Z316">
        <v>0</v>
      </c>
      <c r="AA316">
        <v>0</v>
      </c>
    </row>
    <row r="317" spans="1:27" x14ac:dyDescent="0.3">
      <c r="A317" t="s">
        <v>1485</v>
      </c>
      <c r="B317" s="15">
        <v>45918</v>
      </c>
      <c r="C317" t="s">
        <v>1165</v>
      </c>
      <c r="D317" t="s">
        <v>55</v>
      </c>
      <c r="E317" t="s">
        <v>1468</v>
      </c>
      <c r="F317" t="s">
        <v>1469</v>
      </c>
      <c r="G317" t="s">
        <v>1470</v>
      </c>
      <c r="H317" t="s">
        <v>1471</v>
      </c>
      <c r="I317" t="s">
        <v>1472</v>
      </c>
      <c r="J317" t="s">
        <v>644</v>
      </c>
      <c r="K317" t="s">
        <v>645</v>
      </c>
      <c r="L317" t="s">
        <v>738</v>
      </c>
      <c r="M317" t="s">
        <v>1166</v>
      </c>
      <c r="N317" t="s">
        <v>1167</v>
      </c>
      <c r="O317" t="s">
        <v>1486</v>
      </c>
      <c r="P317" t="s">
        <v>82</v>
      </c>
      <c r="Q317" t="s">
        <v>614</v>
      </c>
      <c r="R317" t="s">
        <v>615</v>
      </c>
      <c r="S317" t="s">
        <v>1474</v>
      </c>
      <c r="T317" s="15">
        <v>46514</v>
      </c>
      <c r="U317">
        <v>296</v>
      </c>
      <c r="V317">
        <v>3</v>
      </c>
      <c r="W317" t="s">
        <v>70</v>
      </c>
      <c r="X317" t="s">
        <v>71</v>
      </c>
      <c r="Y317">
        <v>1</v>
      </c>
      <c r="Z317">
        <v>0</v>
      </c>
      <c r="AA317">
        <v>0</v>
      </c>
    </row>
    <row r="318" spans="1:27" x14ac:dyDescent="0.3">
      <c r="A318" t="s">
        <v>1487</v>
      </c>
      <c r="B318" s="15">
        <v>45918</v>
      </c>
      <c r="C318" t="s">
        <v>179</v>
      </c>
      <c r="D318" t="s">
        <v>55</v>
      </c>
      <c r="E318" t="s">
        <v>1468</v>
      </c>
      <c r="F318" t="s">
        <v>1469</v>
      </c>
      <c r="G318" t="s">
        <v>1470</v>
      </c>
      <c r="H318" t="s">
        <v>1471</v>
      </c>
      <c r="I318" t="s">
        <v>1472</v>
      </c>
      <c r="J318" t="s">
        <v>644</v>
      </c>
      <c r="K318" t="s">
        <v>645</v>
      </c>
      <c r="L318" t="s">
        <v>660</v>
      </c>
      <c r="M318" t="s">
        <v>1161</v>
      </c>
      <c r="N318" t="s">
        <v>1162</v>
      </c>
      <c r="O318" t="s">
        <v>1488</v>
      </c>
      <c r="P318" t="s">
        <v>82</v>
      </c>
      <c r="Q318" t="s">
        <v>614</v>
      </c>
      <c r="R318" t="s">
        <v>615</v>
      </c>
      <c r="S318" t="s">
        <v>1474</v>
      </c>
      <c r="T318" s="15">
        <v>46514</v>
      </c>
      <c r="U318">
        <v>296</v>
      </c>
      <c r="V318">
        <v>3</v>
      </c>
      <c r="W318" t="s">
        <v>70</v>
      </c>
      <c r="X318" t="s">
        <v>71</v>
      </c>
      <c r="Y318">
        <v>1</v>
      </c>
      <c r="Z318">
        <v>0</v>
      </c>
      <c r="AA318">
        <v>0</v>
      </c>
    </row>
    <row r="319" spans="1:27" x14ac:dyDescent="0.3">
      <c r="A319" t="s">
        <v>238</v>
      </c>
      <c r="B319" s="15">
        <v>45931</v>
      </c>
      <c r="C319" t="s">
        <v>179</v>
      </c>
      <c r="D319" t="s">
        <v>55</v>
      </c>
      <c r="E319" t="s">
        <v>1489</v>
      </c>
      <c r="F319" t="s">
        <v>1490</v>
      </c>
      <c r="G319" t="s">
        <v>1491</v>
      </c>
      <c r="H319" t="s">
        <v>1492</v>
      </c>
      <c r="I319" t="s">
        <v>138</v>
      </c>
      <c r="J319" t="s">
        <v>139</v>
      </c>
      <c r="K319" t="s">
        <v>140</v>
      </c>
      <c r="L319" t="s">
        <v>186</v>
      </c>
      <c r="M319" t="s">
        <v>239</v>
      </c>
      <c r="N319" t="s">
        <v>240</v>
      </c>
      <c r="O319" t="s">
        <v>241</v>
      </c>
      <c r="P319" t="s">
        <v>82</v>
      </c>
      <c r="Q319" t="s">
        <v>131</v>
      </c>
      <c r="R319" t="s">
        <v>132</v>
      </c>
      <c r="S319" t="s">
        <v>1493</v>
      </c>
      <c r="T319" s="15">
        <v>46535</v>
      </c>
      <c r="U319">
        <v>292</v>
      </c>
      <c r="V319">
        <v>11.66</v>
      </c>
      <c r="W319" t="s">
        <v>70</v>
      </c>
      <c r="X319" t="s">
        <v>85</v>
      </c>
      <c r="Y319">
        <v>0</v>
      </c>
      <c r="Z319">
        <v>0</v>
      </c>
      <c r="AA319">
        <v>0</v>
      </c>
    </row>
    <row r="320" spans="1:27" x14ac:dyDescent="0.3">
      <c r="A320" t="s">
        <v>142</v>
      </c>
      <c r="B320" s="15">
        <v>45931</v>
      </c>
      <c r="C320" t="s">
        <v>93</v>
      </c>
      <c r="D320" t="s">
        <v>55</v>
      </c>
      <c r="E320" t="s">
        <v>1494</v>
      </c>
      <c r="F320" t="s">
        <v>1495</v>
      </c>
      <c r="G320" t="s">
        <v>1496</v>
      </c>
      <c r="H320" t="s">
        <v>1497</v>
      </c>
      <c r="I320" t="s">
        <v>526</v>
      </c>
      <c r="J320" t="s">
        <v>527</v>
      </c>
      <c r="K320" t="s">
        <v>528</v>
      </c>
      <c r="L320" t="s">
        <v>87</v>
      </c>
      <c r="M320" t="s">
        <v>88</v>
      </c>
      <c r="N320" t="s">
        <v>89</v>
      </c>
      <c r="O320" t="s">
        <v>150</v>
      </c>
      <c r="P320" t="s">
        <v>82</v>
      </c>
      <c r="Q320" t="s">
        <v>1498</v>
      </c>
      <c r="R320" t="s">
        <v>1499</v>
      </c>
      <c r="S320" t="s">
        <v>1500</v>
      </c>
      <c r="T320" s="15">
        <v>47662</v>
      </c>
      <c r="U320">
        <v>292</v>
      </c>
      <c r="V320">
        <v>111</v>
      </c>
      <c r="W320" t="s">
        <v>70</v>
      </c>
      <c r="X320" t="s">
        <v>85</v>
      </c>
      <c r="Y320">
        <v>1</v>
      </c>
      <c r="Z320">
        <v>0</v>
      </c>
      <c r="AA320">
        <v>0</v>
      </c>
    </row>
    <row r="321" spans="1:27" x14ac:dyDescent="0.3">
      <c r="A321" t="s">
        <v>1501</v>
      </c>
      <c r="B321" s="15">
        <v>45661</v>
      </c>
      <c r="C321" t="s">
        <v>272</v>
      </c>
      <c r="D321" t="s">
        <v>55</v>
      </c>
      <c r="F321" t="s">
        <v>1502</v>
      </c>
      <c r="G321" t="s">
        <v>1503</v>
      </c>
      <c r="H321" t="s">
        <v>1504</v>
      </c>
      <c r="I321" t="s">
        <v>1505</v>
      </c>
      <c r="K321" t="s">
        <v>485</v>
      </c>
      <c r="L321" t="s">
        <v>63</v>
      </c>
      <c r="M321" t="s">
        <v>214</v>
      </c>
      <c r="N321" t="s">
        <v>215</v>
      </c>
      <c r="O321" t="s">
        <v>1506</v>
      </c>
      <c r="P321" t="s">
        <v>67</v>
      </c>
      <c r="Q321" t="s">
        <v>1507</v>
      </c>
      <c r="R321" t="s">
        <v>1508</v>
      </c>
      <c r="S321" t="s">
        <v>1509</v>
      </c>
      <c r="T321" s="15">
        <v>46109</v>
      </c>
      <c r="U321">
        <v>292</v>
      </c>
      <c r="V321">
        <v>131.69</v>
      </c>
      <c r="W321" t="s">
        <v>1510</v>
      </c>
      <c r="X321" t="s">
        <v>193</v>
      </c>
      <c r="Y321">
        <v>1</v>
      </c>
      <c r="Z321">
        <v>0</v>
      </c>
      <c r="AA321">
        <v>0</v>
      </c>
    </row>
    <row r="322" spans="1:27" x14ac:dyDescent="0.3">
      <c r="A322" t="s">
        <v>1265</v>
      </c>
      <c r="B322" s="15">
        <v>45815</v>
      </c>
      <c r="C322" t="s">
        <v>1165</v>
      </c>
      <c r="D322" t="s">
        <v>55</v>
      </c>
      <c r="E322" t="s">
        <v>1345</v>
      </c>
      <c r="F322" t="s">
        <v>1511</v>
      </c>
      <c r="G322" t="s">
        <v>1347</v>
      </c>
      <c r="H322" t="s">
        <v>1512</v>
      </c>
      <c r="I322" t="s">
        <v>113</v>
      </c>
      <c r="J322" t="s">
        <v>225</v>
      </c>
      <c r="K322" t="s">
        <v>226</v>
      </c>
      <c r="L322" t="s">
        <v>63</v>
      </c>
      <c r="M322" t="s">
        <v>801</v>
      </c>
      <c r="N322" t="s">
        <v>802</v>
      </c>
      <c r="O322" t="s">
        <v>1268</v>
      </c>
      <c r="P322" t="s">
        <v>119</v>
      </c>
      <c r="Q322" t="s">
        <v>255</v>
      </c>
      <c r="R322" t="s">
        <v>256</v>
      </c>
      <c r="S322" t="s">
        <v>1513</v>
      </c>
      <c r="T322" s="15">
        <v>46354</v>
      </c>
      <c r="U322">
        <v>289</v>
      </c>
      <c r="V322">
        <v>29.33</v>
      </c>
      <c r="W322" t="s">
        <v>70</v>
      </c>
      <c r="X322" t="s">
        <v>177</v>
      </c>
      <c r="Y322">
        <v>1</v>
      </c>
      <c r="Z322">
        <v>0</v>
      </c>
      <c r="AA322">
        <v>0</v>
      </c>
    </row>
    <row r="323" spans="1:27" x14ac:dyDescent="0.3">
      <c r="A323" t="s">
        <v>72</v>
      </c>
      <c r="B323" s="15">
        <v>45931</v>
      </c>
      <c r="C323" t="s">
        <v>73</v>
      </c>
      <c r="D323" t="s">
        <v>55</v>
      </c>
      <c r="E323" t="s">
        <v>1514</v>
      </c>
      <c r="F323" t="s">
        <v>1515</v>
      </c>
      <c r="G323" t="s">
        <v>1516</v>
      </c>
      <c r="H323" t="s">
        <v>1517</v>
      </c>
      <c r="I323" t="s">
        <v>1518</v>
      </c>
      <c r="J323" t="s">
        <v>1235</v>
      </c>
      <c r="K323" t="s">
        <v>1236</v>
      </c>
      <c r="L323" t="s">
        <v>63</v>
      </c>
      <c r="M323" t="s">
        <v>64</v>
      </c>
      <c r="N323" t="s">
        <v>65</v>
      </c>
      <c r="O323" t="s">
        <v>81</v>
      </c>
      <c r="P323" t="s">
        <v>82</v>
      </c>
      <c r="Q323" t="s">
        <v>1519</v>
      </c>
      <c r="R323" t="s">
        <v>1520</v>
      </c>
      <c r="S323" t="s">
        <v>1521</v>
      </c>
      <c r="T323" s="15">
        <v>46596</v>
      </c>
      <c r="U323">
        <v>288</v>
      </c>
      <c r="V323">
        <v>13</v>
      </c>
      <c r="W323" t="s">
        <v>70</v>
      </c>
      <c r="X323" t="s">
        <v>85</v>
      </c>
      <c r="Y323">
        <v>1</v>
      </c>
      <c r="Z323">
        <v>0</v>
      </c>
      <c r="AA323">
        <v>0</v>
      </c>
    </row>
    <row r="324" spans="1:27" x14ac:dyDescent="0.3">
      <c r="A324" t="s">
        <v>86</v>
      </c>
      <c r="B324" s="15">
        <v>45931</v>
      </c>
      <c r="C324" t="s">
        <v>93</v>
      </c>
      <c r="D324" t="s">
        <v>55</v>
      </c>
      <c r="E324" t="s">
        <v>1514</v>
      </c>
      <c r="F324" t="s">
        <v>1515</v>
      </c>
      <c r="G324" t="s">
        <v>1516</v>
      </c>
      <c r="H324" t="s">
        <v>1517</v>
      </c>
      <c r="I324" t="s">
        <v>1518</v>
      </c>
      <c r="J324" t="s">
        <v>1235</v>
      </c>
      <c r="K324" t="s">
        <v>1236</v>
      </c>
      <c r="L324" t="s">
        <v>87</v>
      </c>
      <c r="M324" t="s">
        <v>88</v>
      </c>
      <c r="N324" t="s">
        <v>89</v>
      </c>
      <c r="O324" t="s">
        <v>90</v>
      </c>
      <c r="P324" t="s">
        <v>82</v>
      </c>
      <c r="Q324" t="s">
        <v>1519</v>
      </c>
      <c r="R324" t="s">
        <v>1520</v>
      </c>
      <c r="S324" t="s">
        <v>1521</v>
      </c>
      <c r="T324" s="15">
        <v>46596</v>
      </c>
      <c r="U324">
        <v>288</v>
      </c>
      <c r="V324">
        <v>13</v>
      </c>
      <c r="W324" t="s">
        <v>70</v>
      </c>
      <c r="X324" t="s">
        <v>85</v>
      </c>
      <c r="Y324">
        <v>1</v>
      </c>
      <c r="Z324">
        <v>0</v>
      </c>
      <c r="AA324">
        <v>0</v>
      </c>
    </row>
    <row r="325" spans="1:27" x14ac:dyDescent="0.3">
      <c r="A325" t="s">
        <v>1408</v>
      </c>
      <c r="B325" s="15">
        <v>45931</v>
      </c>
      <c r="C325" t="s">
        <v>54</v>
      </c>
      <c r="D325" t="s">
        <v>55</v>
      </c>
      <c r="E325" t="s">
        <v>347</v>
      </c>
      <c r="F325" t="s">
        <v>1522</v>
      </c>
      <c r="G325" t="s">
        <v>349</v>
      </c>
      <c r="H325" t="s">
        <v>448</v>
      </c>
      <c r="I325" t="s">
        <v>113</v>
      </c>
      <c r="J325" t="s">
        <v>114</v>
      </c>
      <c r="K325" t="s">
        <v>115</v>
      </c>
      <c r="L325" t="s">
        <v>186</v>
      </c>
      <c r="M325" t="s">
        <v>1053</v>
      </c>
      <c r="N325" t="s">
        <v>1054</v>
      </c>
      <c r="O325" t="s">
        <v>1409</v>
      </c>
      <c r="P325" t="s">
        <v>119</v>
      </c>
      <c r="Q325" t="s">
        <v>1329</v>
      </c>
      <c r="R325" t="s">
        <v>1330</v>
      </c>
      <c r="S325" t="s">
        <v>1523</v>
      </c>
      <c r="T325" s="15">
        <v>46446</v>
      </c>
      <c r="U325">
        <v>286</v>
      </c>
      <c r="V325">
        <v>46.55</v>
      </c>
      <c r="W325" t="s">
        <v>70</v>
      </c>
      <c r="X325" t="s">
        <v>85</v>
      </c>
      <c r="Y325">
        <v>1</v>
      </c>
      <c r="Z325">
        <v>0</v>
      </c>
      <c r="AA325">
        <v>0</v>
      </c>
    </row>
    <row r="326" spans="1:27" x14ac:dyDescent="0.3">
      <c r="A326" t="s">
        <v>1524</v>
      </c>
      <c r="B326" s="15">
        <v>45752</v>
      </c>
      <c r="C326" t="s">
        <v>625</v>
      </c>
      <c r="D326" t="s">
        <v>55</v>
      </c>
      <c r="E326" t="s">
        <v>1377</v>
      </c>
      <c r="F326" t="s">
        <v>1378</v>
      </c>
      <c r="G326" t="s">
        <v>1379</v>
      </c>
      <c r="H326" t="s">
        <v>1380</v>
      </c>
      <c r="I326" t="s">
        <v>1381</v>
      </c>
      <c r="J326" t="s">
        <v>612</v>
      </c>
      <c r="K326" t="s">
        <v>613</v>
      </c>
      <c r="L326" t="s">
        <v>87</v>
      </c>
      <c r="M326" t="s">
        <v>632</v>
      </c>
      <c r="N326" t="s">
        <v>633</v>
      </c>
      <c r="O326" t="s">
        <v>1525</v>
      </c>
      <c r="P326" t="s">
        <v>67</v>
      </c>
      <c r="Q326" t="s">
        <v>614</v>
      </c>
      <c r="R326" t="s">
        <v>615</v>
      </c>
      <c r="S326" t="s">
        <v>1383</v>
      </c>
      <c r="T326" s="15">
        <v>46231</v>
      </c>
      <c r="U326">
        <v>285</v>
      </c>
      <c r="V326">
        <v>3.03</v>
      </c>
      <c r="W326" t="s">
        <v>70</v>
      </c>
      <c r="X326" t="s">
        <v>123</v>
      </c>
      <c r="Y326">
        <v>1</v>
      </c>
      <c r="Z326">
        <v>0</v>
      </c>
      <c r="AA326">
        <v>0</v>
      </c>
    </row>
    <row r="327" spans="1:27" x14ac:dyDescent="0.3">
      <c r="A327" t="s">
        <v>1526</v>
      </c>
      <c r="B327" s="15">
        <v>45752</v>
      </c>
      <c r="C327" t="s">
        <v>73</v>
      </c>
      <c r="D327" t="s">
        <v>55</v>
      </c>
      <c r="E327" t="s">
        <v>639</v>
      </c>
      <c r="F327" t="s">
        <v>640</v>
      </c>
      <c r="G327" t="s">
        <v>641</v>
      </c>
      <c r="H327" t="s">
        <v>642</v>
      </c>
      <c r="I327" t="s">
        <v>643</v>
      </c>
      <c r="J327" t="s">
        <v>644</v>
      </c>
      <c r="K327" t="s">
        <v>645</v>
      </c>
      <c r="L327" t="s">
        <v>87</v>
      </c>
      <c r="M327" t="s">
        <v>1527</v>
      </c>
      <c r="N327" t="s">
        <v>1528</v>
      </c>
      <c r="O327" t="s">
        <v>1529</v>
      </c>
      <c r="P327" t="s">
        <v>82</v>
      </c>
      <c r="Q327" t="s">
        <v>647</v>
      </c>
      <c r="R327" t="s">
        <v>648</v>
      </c>
      <c r="S327" t="s">
        <v>649</v>
      </c>
      <c r="T327" s="15">
        <v>46121</v>
      </c>
      <c r="U327">
        <v>283</v>
      </c>
      <c r="V327">
        <v>2.6</v>
      </c>
      <c r="W327" t="s">
        <v>70</v>
      </c>
      <c r="X327" t="s">
        <v>123</v>
      </c>
      <c r="Y327">
        <v>1</v>
      </c>
      <c r="Z327">
        <v>0</v>
      </c>
      <c r="AA327">
        <v>0</v>
      </c>
    </row>
    <row r="328" spans="1:27" x14ac:dyDescent="0.3">
      <c r="A328" t="s">
        <v>729</v>
      </c>
      <c r="B328" s="15">
        <v>45931</v>
      </c>
      <c r="C328" t="s">
        <v>272</v>
      </c>
      <c r="D328" t="s">
        <v>55</v>
      </c>
      <c r="E328" t="s">
        <v>522</v>
      </c>
      <c r="F328" t="s">
        <v>523</v>
      </c>
      <c r="G328" t="s">
        <v>524</v>
      </c>
      <c r="H328" t="s">
        <v>525</v>
      </c>
      <c r="I328" t="s">
        <v>526</v>
      </c>
      <c r="J328" t="s">
        <v>527</v>
      </c>
      <c r="K328" t="s">
        <v>528</v>
      </c>
      <c r="L328" t="s">
        <v>718</v>
      </c>
      <c r="M328" t="s">
        <v>730</v>
      </c>
      <c r="N328" t="s">
        <v>731</v>
      </c>
      <c r="O328" t="s">
        <v>732</v>
      </c>
      <c r="P328" t="s">
        <v>82</v>
      </c>
      <c r="Q328" t="s">
        <v>529</v>
      </c>
      <c r="R328" t="s">
        <v>530</v>
      </c>
      <c r="S328" t="s">
        <v>531</v>
      </c>
      <c r="T328" s="15">
        <v>47662</v>
      </c>
      <c r="U328">
        <v>280</v>
      </c>
      <c r="V328">
        <v>6.6</v>
      </c>
      <c r="W328" t="s">
        <v>70</v>
      </c>
      <c r="X328" t="s">
        <v>85</v>
      </c>
      <c r="Y328">
        <v>1</v>
      </c>
      <c r="Z328">
        <v>0</v>
      </c>
      <c r="AA328">
        <v>0</v>
      </c>
    </row>
    <row r="329" spans="1:27" x14ac:dyDescent="0.3">
      <c r="A329" t="s">
        <v>733</v>
      </c>
      <c r="B329" s="15">
        <v>45931</v>
      </c>
      <c r="C329" t="s">
        <v>179</v>
      </c>
      <c r="D329" t="s">
        <v>55</v>
      </c>
      <c r="E329" t="s">
        <v>522</v>
      </c>
      <c r="F329" t="s">
        <v>523</v>
      </c>
      <c r="G329" t="s">
        <v>524</v>
      </c>
      <c r="H329" t="s">
        <v>525</v>
      </c>
      <c r="I329" t="s">
        <v>526</v>
      </c>
      <c r="J329" t="s">
        <v>527</v>
      </c>
      <c r="K329" t="s">
        <v>528</v>
      </c>
      <c r="L329" t="s">
        <v>100</v>
      </c>
      <c r="M329" t="s">
        <v>734</v>
      </c>
      <c r="N329" t="s">
        <v>735</v>
      </c>
      <c r="O329" t="s">
        <v>736</v>
      </c>
      <c r="P329" t="s">
        <v>82</v>
      </c>
      <c r="Q329" t="s">
        <v>529</v>
      </c>
      <c r="R329" t="s">
        <v>530</v>
      </c>
      <c r="S329" t="s">
        <v>531</v>
      </c>
      <c r="T329" s="15">
        <v>47662</v>
      </c>
      <c r="U329">
        <v>280</v>
      </c>
      <c r="V329">
        <v>6.6</v>
      </c>
      <c r="W329" t="s">
        <v>70</v>
      </c>
      <c r="X329" t="s">
        <v>85</v>
      </c>
      <c r="Y329">
        <v>1</v>
      </c>
      <c r="Z329">
        <v>0</v>
      </c>
      <c r="AA329">
        <v>0</v>
      </c>
    </row>
    <row r="330" spans="1:27" x14ac:dyDescent="0.3">
      <c r="A330" t="s">
        <v>737</v>
      </c>
      <c r="B330" s="15">
        <v>45931</v>
      </c>
      <c r="C330" t="s">
        <v>93</v>
      </c>
      <c r="D330" t="s">
        <v>55</v>
      </c>
      <c r="E330" t="s">
        <v>522</v>
      </c>
      <c r="F330" t="s">
        <v>523</v>
      </c>
      <c r="G330" t="s">
        <v>524</v>
      </c>
      <c r="H330" t="s">
        <v>525</v>
      </c>
      <c r="I330" t="s">
        <v>526</v>
      </c>
      <c r="J330" t="s">
        <v>527</v>
      </c>
      <c r="K330" t="s">
        <v>528</v>
      </c>
      <c r="L330" t="s">
        <v>738</v>
      </c>
      <c r="M330" t="s">
        <v>739</v>
      </c>
      <c r="N330" t="s">
        <v>740</v>
      </c>
      <c r="O330" t="s">
        <v>741</v>
      </c>
      <c r="P330" t="s">
        <v>82</v>
      </c>
      <c r="Q330" t="s">
        <v>529</v>
      </c>
      <c r="R330" t="s">
        <v>530</v>
      </c>
      <c r="S330" t="s">
        <v>531</v>
      </c>
      <c r="T330" s="15">
        <v>47662</v>
      </c>
      <c r="U330">
        <v>280</v>
      </c>
      <c r="V330">
        <v>6.6</v>
      </c>
      <c r="W330" t="s">
        <v>70</v>
      </c>
      <c r="X330" t="s">
        <v>85</v>
      </c>
      <c r="Y330">
        <v>1</v>
      </c>
      <c r="Z330">
        <v>0</v>
      </c>
      <c r="AA330">
        <v>0</v>
      </c>
    </row>
    <row r="331" spans="1:27" x14ac:dyDescent="0.3">
      <c r="A331" t="s">
        <v>742</v>
      </c>
      <c r="B331" s="15">
        <v>45931</v>
      </c>
      <c r="C331" t="s">
        <v>743</v>
      </c>
      <c r="D331" t="s">
        <v>55</v>
      </c>
      <c r="E331" t="s">
        <v>522</v>
      </c>
      <c r="F331" t="s">
        <v>523</v>
      </c>
      <c r="G331" t="s">
        <v>524</v>
      </c>
      <c r="H331" t="s">
        <v>525</v>
      </c>
      <c r="I331" t="s">
        <v>526</v>
      </c>
      <c r="J331" t="s">
        <v>527</v>
      </c>
      <c r="K331" t="s">
        <v>528</v>
      </c>
      <c r="L331" t="s">
        <v>718</v>
      </c>
      <c r="M331" t="s">
        <v>719</v>
      </c>
      <c r="N331" t="s">
        <v>720</v>
      </c>
      <c r="O331" t="s">
        <v>744</v>
      </c>
      <c r="P331" t="s">
        <v>82</v>
      </c>
      <c r="Q331" t="s">
        <v>529</v>
      </c>
      <c r="R331" t="s">
        <v>530</v>
      </c>
      <c r="S331" t="s">
        <v>531</v>
      </c>
      <c r="T331" s="15">
        <v>47662</v>
      </c>
      <c r="U331">
        <v>280</v>
      </c>
      <c r="V331">
        <v>6.6</v>
      </c>
      <c r="W331" t="s">
        <v>70</v>
      </c>
      <c r="X331" t="s">
        <v>85</v>
      </c>
      <c r="Y331">
        <v>1</v>
      </c>
      <c r="Z331">
        <v>0</v>
      </c>
      <c r="AA331">
        <v>0</v>
      </c>
    </row>
    <row r="332" spans="1:27" x14ac:dyDescent="0.3">
      <c r="A332" t="s">
        <v>745</v>
      </c>
      <c r="B332" s="15">
        <v>45931</v>
      </c>
      <c r="C332" t="s">
        <v>95</v>
      </c>
      <c r="D332" t="s">
        <v>55</v>
      </c>
      <c r="E332" t="s">
        <v>522</v>
      </c>
      <c r="F332" t="s">
        <v>523</v>
      </c>
      <c r="G332" t="s">
        <v>524</v>
      </c>
      <c r="H332" t="s">
        <v>525</v>
      </c>
      <c r="I332" t="s">
        <v>526</v>
      </c>
      <c r="J332" t="s">
        <v>527</v>
      </c>
      <c r="K332" t="s">
        <v>528</v>
      </c>
      <c r="L332" t="s">
        <v>186</v>
      </c>
      <c r="M332" t="s">
        <v>504</v>
      </c>
      <c r="N332" t="s">
        <v>505</v>
      </c>
      <c r="O332" t="s">
        <v>746</v>
      </c>
      <c r="P332" t="s">
        <v>82</v>
      </c>
      <c r="Q332" t="s">
        <v>529</v>
      </c>
      <c r="R332" t="s">
        <v>530</v>
      </c>
      <c r="S332" t="s">
        <v>531</v>
      </c>
      <c r="T332" s="15">
        <v>47662</v>
      </c>
      <c r="U332">
        <v>280</v>
      </c>
      <c r="V332">
        <v>6.6</v>
      </c>
      <c r="W332" t="s">
        <v>70</v>
      </c>
      <c r="X332" t="s">
        <v>85</v>
      </c>
      <c r="Y332">
        <v>1</v>
      </c>
      <c r="Z332">
        <v>0</v>
      </c>
      <c r="AA332">
        <v>0</v>
      </c>
    </row>
    <row r="333" spans="1:27" x14ac:dyDescent="0.3">
      <c r="A333" t="s">
        <v>747</v>
      </c>
      <c r="B333" s="15">
        <v>45931</v>
      </c>
      <c r="C333" t="s">
        <v>93</v>
      </c>
      <c r="D333" t="s">
        <v>55</v>
      </c>
      <c r="E333" t="s">
        <v>522</v>
      </c>
      <c r="F333" t="s">
        <v>523</v>
      </c>
      <c r="G333" t="s">
        <v>524</v>
      </c>
      <c r="H333" t="s">
        <v>525</v>
      </c>
      <c r="I333" t="s">
        <v>526</v>
      </c>
      <c r="J333" t="s">
        <v>527</v>
      </c>
      <c r="K333" t="s">
        <v>528</v>
      </c>
      <c r="L333" t="s">
        <v>100</v>
      </c>
      <c r="M333" t="s">
        <v>748</v>
      </c>
      <c r="N333" t="s">
        <v>749</v>
      </c>
      <c r="O333" t="s">
        <v>750</v>
      </c>
      <c r="P333" t="s">
        <v>82</v>
      </c>
      <c r="Q333" t="s">
        <v>529</v>
      </c>
      <c r="R333" t="s">
        <v>530</v>
      </c>
      <c r="S333" t="s">
        <v>531</v>
      </c>
      <c r="T333" s="15">
        <v>47662</v>
      </c>
      <c r="U333">
        <v>280</v>
      </c>
      <c r="V333">
        <v>6.6</v>
      </c>
      <c r="W333" t="s">
        <v>70</v>
      </c>
      <c r="X333" t="s">
        <v>85</v>
      </c>
      <c r="Y333">
        <v>1</v>
      </c>
      <c r="Z333">
        <v>0</v>
      </c>
      <c r="AA333">
        <v>0</v>
      </c>
    </row>
    <row r="334" spans="1:27" x14ac:dyDescent="0.3">
      <c r="A334" t="s">
        <v>1009</v>
      </c>
      <c r="B334" s="15">
        <v>45815</v>
      </c>
      <c r="C334" t="s">
        <v>179</v>
      </c>
      <c r="D334" t="s">
        <v>55</v>
      </c>
      <c r="E334" t="s">
        <v>782</v>
      </c>
      <c r="F334" t="s">
        <v>1530</v>
      </c>
      <c r="G334" t="s">
        <v>784</v>
      </c>
      <c r="H334" t="s">
        <v>1531</v>
      </c>
      <c r="I334" t="s">
        <v>113</v>
      </c>
      <c r="J334" t="s">
        <v>786</v>
      </c>
      <c r="K334" t="s">
        <v>787</v>
      </c>
      <c r="L334" t="s">
        <v>186</v>
      </c>
      <c r="M334" t="s">
        <v>1012</v>
      </c>
      <c r="N334" t="s">
        <v>1013</v>
      </c>
      <c r="O334" t="s">
        <v>1014</v>
      </c>
      <c r="P334" t="s">
        <v>119</v>
      </c>
      <c r="Q334" t="s">
        <v>159</v>
      </c>
      <c r="R334" t="s">
        <v>160</v>
      </c>
      <c r="S334" t="s">
        <v>1532</v>
      </c>
      <c r="T334" s="15">
        <v>46895</v>
      </c>
      <c r="U334">
        <v>278</v>
      </c>
      <c r="V334">
        <v>17.079999999999998</v>
      </c>
      <c r="W334" t="s">
        <v>70</v>
      </c>
      <c r="X334" t="s">
        <v>177</v>
      </c>
      <c r="Y334">
        <v>0</v>
      </c>
      <c r="Z334">
        <v>0</v>
      </c>
      <c r="AA334">
        <v>0</v>
      </c>
    </row>
    <row r="335" spans="1:27" x14ac:dyDescent="0.3">
      <c r="A335" t="s">
        <v>238</v>
      </c>
      <c r="B335" s="15">
        <v>45931</v>
      </c>
      <c r="C335" t="s">
        <v>179</v>
      </c>
      <c r="D335" t="s">
        <v>55</v>
      </c>
      <c r="E335" t="s">
        <v>1426</v>
      </c>
      <c r="F335" t="s">
        <v>1427</v>
      </c>
      <c r="G335" t="s">
        <v>1428</v>
      </c>
      <c r="H335" t="s">
        <v>1429</v>
      </c>
      <c r="I335" t="s">
        <v>138</v>
      </c>
      <c r="J335" t="s">
        <v>139</v>
      </c>
      <c r="K335" t="s">
        <v>140</v>
      </c>
      <c r="L335" t="s">
        <v>186</v>
      </c>
      <c r="M335" t="s">
        <v>239</v>
      </c>
      <c r="N335" t="s">
        <v>240</v>
      </c>
      <c r="O335" t="s">
        <v>241</v>
      </c>
      <c r="P335" t="s">
        <v>82</v>
      </c>
      <c r="Q335" t="s">
        <v>493</v>
      </c>
      <c r="R335" t="s">
        <v>494</v>
      </c>
      <c r="S335" t="s">
        <v>1430</v>
      </c>
      <c r="T335" s="15">
        <v>46505</v>
      </c>
      <c r="U335">
        <v>278</v>
      </c>
      <c r="V335">
        <v>13.57</v>
      </c>
      <c r="W335" t="s">
        <v>70</v>
      </c>
      <c r="X335" t="s">
        <v>85</v>
      </c>
      <c r="Y335">
        <v>1</v>
      </c>
      <c r="Z335">
        <v>0</v>
      </c>
      <c r="AA335">
        <v>0</v>
      </c>
    </row>
    <row r="336" spans="1:27" x14ac:dyDescent="0.3">
      <c r="A336" t="s">
        <v>767</v>
      </c>
      <c r="B336" s="15">
        <v>45842</v>
      </c>
      <c r="C336" t="s">
        <v>73</v>
      </c>
      <c r="D336" t="s">
        <v>55</v>
      </c>
      <c r="E336" t="s">
        <v>1174</v>
      </c>
      <c r="F336" t="s">
        <v>1175</v>
      </c>
      <c r="G336" t="s">
        <v>1176</v>
      </c>
      <c r="H336" t="s">
        <v>1177</v>
      </c>
      <c r="I336" t="s">
        <v>643</v>
      </c>
      <c r="J336" t="s">
        <v>644</v>
      </c>
      <c r="K336" t="s">
        <v>645</v>
      </c>
      <c r="L336" t="s">
        <v>87</v>
      </c>
      <c r="M336" t="s">
        <v>768</v>
      </c>
      <c r="N336" t="s">
        <v>769</v>
      </c>
      <c r="O336" t="s">
        <v>770</v>
      </c>
      <c r="P336" t="s">
        <v>82</v>
      </c>
      <c r="Q336" t="s">
        <v>1178</v>
      </c>
      <c r="R336" t="s">
        <v>1179</v>
      </c>
      <c r="S336" t="s">
        <v>1180</v>
      </c>
      <c r="T336" s="15">
        <v>46438</v>
      </c>
      <c r="U336">
        <v>277</v>
      </c>
      <c r="V336">
        <v>7</v>
      </c>
      <c r="W336" t="s">
        <v>70</v>
      </c>
      <c r="X336" t="s">
        <v>107</v>
      </c>
      <c r="Y336">
        <v>1</v>
      </c>
      <c r="Z336">
        <v>0</v>
      </c>
      <c r="AA336">
        <v>0</v>
      </c>
    </row>
    <row r="337" spans="1:27" x14ac:dyDescent="0.3">
      <c r="A337" t="s">
        <v>729</v>
      </c>
      <c r="B337" s="15">
        <v>45931</v>
      </c>
      <c r="C337" t="s">
        <v>272</v>
      </c>
      <c r="D337" t="s">
        <v>55</v>
      </c>
      <c r="E337" t="s">
        <v>479</v>
      </c>
      <c r="F337" t="s">
        <v>480</v>
      </c>
      <c r="G337" t="s">
        <v>481</v>
      </c>
      <c r="H337" t="s">
        <v>482</v>
      </c>
      <c r="I337" t="s">
        <v>483</v>
      </c>
      <c r="J337" t="s">
        <v>484</v>
      </c>
      <c r="K337" t="s">
        <v>485</v>
      </c>
      <c r="L337" t="s">
        <v>718</v>
      </c>
      <c r="M337" t="s">
        <v>730</v>
      </c>
      <c r="N337" t="s">
        <v>731</v>
      </c>
      <c r="O337" t="s">
        <v>732</v>
      </c>
      <c r="P337" t="s">
        <v>82</v>
      </c>
      <c r="Q337" t="s">
        <v>486</v>
      </c>
      <c r="R337" t="s">
        <v>487</v>
      </c>
      <c r="S337" t="s">
        <v>488</v>
      </c>
      <c r="T337" s="15">
        <v>47358</v>
      </c>
      <c r="U337">
        <v>275</v>
      </c>
      <c r="V337">
        <v>2.85</v>
      </c>
      <c r="W337" t="s">
        <v>70</v>
      </c>
      <c r="X337" t="s">
        <v>85</v>
      </c>
      <c r="Y337">
        <v>1</v>
      </c>
      <c r="Z337">
        <v>0</v>
      </c>
      <c r="AA337">
        <v>0</v>
      </c>
    </row>
    <row r="338" spans="1:27" x14ac:dyDescent="0.3">
      <c r="A338" t="s">
        <v>733</v>
      </c>
      <c r="B338" s="15">
        <v>45931</v>
      </c>
      <c r="C338" t="s">
        <v>179</v>
      </c>
      <c r="D338" t="s">
        <v>55</v>
      </c>
      <c r="E338" t="s">
        <v>479</v>
      </c>
      <c r="F338" t="s">
        <v>480</v>
      </c>
      <c r="G338" t="s">
        <v>481</v>
      </c>
      <c r="H338" t="s">
        <v>482</v>
      </c>
      <c r="I338" t="s">
        <v>483</v>
      </c>
      <c r="J338" t="s">
        <v>484</v>
      </c>
      <c r="K338" t="s">
        <v>485</v>
      </c>
      <c r="L338" t="s">
        <v>100</v>
      </c>
      <c r="M338" t="s">
        <v>734</v>
      </c>
      <c r="N338" t="s">
        <v>735</v>
      </c>
      <c r="O338" t="s">
        <v>736</v>
      </c>
      <c r="P338" t="s">
        <v>82</v>
      </c>
      <c r="Q338" t="s">
        <v>486</v>
      </c>
      <c r="R338" t="s">
        <v>487</v>
      </c>
      <c r="S338" t="s">
        <v>488</v>
      </c>
      <c r="T338" s="15">
        <v>47358</v>
      </c>
      <c r="U338">
        <v>275</v>
      </c>
      <c r="V338">
        <v>2.85</v>
      </c>
      <c r="W338" t="s">
        <v>70</v>
      </c>
      <c r="X338" t="s">
        <v>85</v>
      </c>
      <c r="Y338">
        <v>1</v>
      </c>
      <c r="Z338">
        <v>0</v>
      </c>
      <c r="AA338">
        <v>0</v>
      </c>
    </row>
    <row r="339" spans="1:27" x14ac:dyDescent="0.3">
      <c r="A339" t="s">
        <v>737</v>
      </c>
      <c r="B339" s="15">
        <v>45931</v>
      </c>
      <c r="C339" t="s">
        <v>93</v>
      </c>
      <c r="D339" t="s">
        <v>55</v>
      </c>
      <c r="E339" t="s">
        <v>479</v>
      </c>
      <c r="F339" t="s">
        <v>480</v>
      </c>
      <c r="G339" t="s">
        <v>481</v>
      </c>
      <c r="H339" t="s">
        <v>482</v>
      </c>
      <c r="I339" t="s">
        <v>483</v>
      </c>
      <c r="J339" t="s">
        <v>484</v>
      </c>
      <c r="K339" t="s">
        <v>485</v>
      </c>
      <c r="L339" t="s">
        <v>738</v>
      </c>
      <c r="M339" t="s">
        <v>739</v>
      </c>
      <c r="N339" t="s">
        <v>740</v>
      </c>
      <c r="O339" t="s">
        <v>741</v>
      </c>
      <c r="P339" t="s">
        <v>82</v>
      </c>
      <c r="Q339" t="s">
        <v>486</v>
      </c>
      <c r="R339" t="s">
        <v>487</v>
      </c>
      <c r="S339" t="s">
        <v>488</v>
      </c>
      <c r="T339" s="15">
        <v>47358</v>
      </c>
      <c r="U339">
        <v>275</v>
      </c>
      <c r="V339">
        <v>2.85</v>
      </c>
      <c r="W339" t="s">
        <v>70</v>
      </c>
      <c r="X339" t="s">
        <v>85</v>
      </c>
      <c r="Y339">
        <v>1</v>
      </c>
      <c r="Z339">
        <v>0</v>
      </c>
      <c r="AA339">
        <v>0</v>
      </c>
    </row>
    <row r="340" spans="1:27" x14ac:dyDescent="0.3">
      <c r="A340" t="s">
        <v>742</v>
      </c>
      <c r="B340" s="15">
        <v>45931</v>
      </c>
      <c r="C340" t="s">
        <v>743</v>
      </c>
      <c r="D340" t="s">
        <v>55</v>
      </c>
      <c r="E340" t="s">
        <v>479</v>
      </c>
      <c r="F340" t="s">
        <v>480</v>
      </c>
      <c r="G340" t="s">
        <v>481</v>
      </c>
      <c r="H340" t="s">
        <v>482</v>
      </c>
      <c r="I340" t="s">
        <v>483</v>
      </c>
      <c r="J340" t="s">
        <v>484</v>
      </c>
      <c r="K340" t="s">
        <v>485</v>
      </c>
      <c r="L340" t="s">
        <v>718</v>
      </c>
      <c r="M340" t="s">
        <v>719</v>
      </c>
      <c r="N340" t="s">
        <v>720</v>
      </c>
      <c r="O340" t="s">
        <v>744</v>
      </c>
      <c r="P340" t="s">
        <v>82</v>
      </c>
      <c r="Q340" t="s">
        <v>486</v>
      </c>
      <c r="R340" t="s">
        <v>487</v>
      </c>
      <c r="S340" t="s">
        <v>488</v>
      </c>
      <c r="T340" s="15">
        <v>47358</v>
      </c>
      <c r="U340">
        <v>275</v>
      </c>
      <c r="V340">
        <v>2.85</v>
      </c>
      <c r="W340" t="s">
        <v>70</v>
      </c>
      <c r="X340" t="s">
        <v>85</v>
      </c>
      <c r="Y340">
        <v>1</v>
      </c>
      <c r="Z340">
        <v>0</v>
      </c>
      <c r="AA340">
        <v>0</v>
      </c>
    </row>
    <row r="341" spans="1:27" x14ac:dyDescent="0.3">
      <c r="A341" t="s">
        <v>745</v>
      </c>
      <c r="B341" s="15">
        <v>45931</v>
      </c>
      <c r="C341" t="s">
        <v>95</v>
      </c>
      <c r="D341" t="s">
        <v>55</v>
      </c>
      <c r="E341" t="s">
        <v>479</v>
      </c>
      <c r="F341" t="s">
        <v>480</v>
      </c>
      <c r="G341" t="s">
        <v>481</v>
      </c>
      <c r="H341" t="s">
        <v>482</v>
      </c>
      <c r="I341" t="s">
        <v>483</v>
      </c>
      <c r="J341" t="s">
        <v>484</v>
      </c>
      <c r="K341" t="s">
        <v>485</v>
      </c>
      <c r="L341" t="s">
        <v>186</v>
      </c>
      <c r="M341" t="s">
        <v>504</v>
      </c>
      <c r="N341" t="s">
        <v>505</v>
      </c>
      <c r="O341" t="s">
        <v>746</v>
      </c>
      <c r="P341" t="s">
        <v>82</v>
      </c>
      <c r="Q341" t="s">
        <v>486</v>
      </c>
      <c r="R341" t="s">
        <v>487</v>
      </c>
      <c r="S341" t="s">
        <v>488</v>
      </c>
      <c r="T341" s="15">
        <v>47358</v>
      </c>
      <c r="U341">
        <v>275</v>
      </c>
      <c r="V341">
        <v>2.85</v>
      </c>
      <c r="W341" t="s">
        <v>70</v>
      </c>
      <c r="X341" t="s">
        <v>85</v>
      </c>
      <c r="Y341">
        <v>1</v>
      </c>
      <c r="Z341">
        <v>0</v>
      </c>
      <c r="AA341">
        <v>0</v>
      </c>
    </row>
    <row r="342" spans="1:27" x14ac:dyDescent="0.3">
      <c r="A342" t="s">
        <v>747</v>
      </c>
      <c r="B342" s="15">
        <v>45931</v>
      </c>
      <c r="C342" t="s">
        <v>93</v>
      </c>
      <c r="D342" t="s">
        <v>55</v>
      </c>
      <c r="E342" t="s">
        <v>479</v>
      </c>
      <c r="F342" t="s">
        <v>480</v>
      </c>
      <c r="G342" t="s">
        <v>481</v>
      </c>
      <c r="H342" t="s">
        <v>482</v>
      </c>
      <c r="I342" t="s">
        <v>483</v>
      </c>
      <c r="J342" t="s">
        <v>484</v>
      </c>
      <c r="K342" t="s">
        <v>485</v>
      </c>
      <c r="L342" t="s">
        <v>100</v>
      </c>
      <c r="M342" t="s">
        <v>748</v>
      </c>
      <c r="N342" t="s">
        <v>749</v>
      </c>
      <c r="O342" t="s">
        <v>750</v>
      </c>
      <c r="P342" t="s">
        <v>82</v>
      </c>
      <c r="Q342" t="s">
        <v>486</v>
      </c>
      <c r="R342" t="s">
        <v>487</v>
      </c>
      <c r="S342" t="s">
        <v>488</v>
      </c>
      <c r="T342" s="15">
        <v>47358</v>
      </c>
      <c r="U342">
        <v>275</v>
      </c>
      <c r="V342">
        <v>2.85</v>
      </c>
      <c r="W342" t="s">
        <v>70</v>
      </c>
      <c r="X342" t="s">
        <v>85</v>
      </c>
      <c r="Y342">
        <v>1</v>
      </c>
      <c r="Z342">
        <v>0</v>
      </c>
      <c r="AA342">
        <v>0</v>
      </c>
    </row>
    <row r="343" spans="1:27" x14ac:dyDescent="0.3">
      <c r="A343" t="s">
        <v>767</v>
      </c>
      <c r="B343" s="15">
        <v>45842</v>
      </c>
      <c r="C343" t="s">
        <v>73</v>
      </c>
      <c r="D343" t="s">
        <v>55</v>
      </c>
      <c r="E343" t="s">
        <v>1462</v>
      </c>
      <c r="F343" t="s">
        <v>1463</v>
      </c>
      <c r="G343" t="s">
        <v>1464</v>
      </c>
      <c r="H343" t="s">
        <v>1465</v>
      </c>
      <c r="I343" t="s">
        <v>643</v>
      </c>
      <c r="J343" t="s">
        <v>644</v>
      </c>
      <c r="K343" t="s">
        <v>645</v>
      </c>
      <c r="L343" t="s">
        <v>87</v>
      </c>
      <c r="M343" t="s">
        <v>768</v>
      </c>
      <c r="N343" t="s">
        <v>769</v>
      </c>
      <c r="O343" t="s">
        <v>770</v>
      </c>
      <c r="P343" t="s">
        <v>82</v>
      </c>
      <c r="Q343" t="s">
        <v>635</v>
      </c>
      <c r="R343" t="s">
        <v>636</v>
      </c>
      <c r="S343" t="s">
        <v>1466</v>
      </c>
      <c r="T343" s="15">
        <v>46439</v>
      </c>
      <c r="U343">
        <v>274</v>
      </c>
      <c r="V343">
        <v>3.8</v>
      </c>
      <c r="W343" t="s">
        <v>70</v>
      </c>
      <c r="X343" t="s">
        <v>107</v>
      </c>
      <c r="Y343">
        <v>1</v>
      </c>
      <c r="Z343">
        <v>0</v>
      </c>
      <c r="AA343">
        <v>0</v>
      </c>
    </row>
    <row r="344" spans="1:27" x14ac:dyDescent="0.3">
      <c r="A344" t="s">
        <v>355</v>
      </c>
      <c r="B344" s="15">
        <v>45842</v>
      </c>
      <c r="C344" t="s">
        <v>93</v>
      </c>
      <c r="D344" t="s">
        <v>55</v>
      </c>
      <c r="E344" t="s">
        <v>1036</v>
      </c>
      <c r="F344" t="s">
        <v>1037</v>
      </c>
      <c r="G344" t="s">
        <v>1038</v>
      </c>
      <c r="H344" t="s">
        <v>1039</v>
      </c>
      <c r="I344" t="s">
        <v>254</v>
      </c>
      <c r="J344" t="s">
        <v>139</v>
      </c>
      <c r="K344" t="s">
        <v>140</v>
      </c>
      <c r="L344" t="s">
        <v>100</v>
      </c>
      <c r="M344" t="s">
        <v>101</v>
      </c>
      <c r="N344" t="s">
        <v>102</v>
      </c>
      <c r="O344" t="s">
        <v>360</v>
      </c>
      <c r="P344" t="s">
        <v>82</v>
      </c>
      <c r="Q344" t="s">
        <v>1040</v>
      </c>
      <c r="R344" t="s">
        <v>1041</v>
      </c>
      <c r="S344" t="s">
        <v>1042</v>
      </c>
      <c r="T344" s="15">
        <v>46446</v>
      </c>
      <c r="U344">
        <v>272</v>
      </c>
      <c r="V344">
        <v>8.2899999999999991</v>
      </c>
      <c r="W344" t="s">
        <v>70</v>
      </c>
      <c r="X344" t="s">
        <v>107</v>
      </c>
      <c r="Y344">
        <v>1</v>
      </c>
      <c r="Z344">
        <v>0</v>
      </c>
      <c r="AA344">
        <v>0</v>
      </c>
    </row>
    <row r="345" spans="1:27" x14ac:dyDescent="0.3">
      <c r="A345" t="s">
        <v>142</v>
      </c>
      <c r="B345" s="15">
        <v>45931</v>
      </c>
      <c r="C345" t="s">
        <v>93</v>
      </c>
      <c r="D345" t="s">
        <v>55</v>
      </c>
      <c r="E345" t="s">
        <v>1533</v>
      </c>
      <c r="F345" t="s">
        <v>1534</v>
      </c>
      <c r="G345" t="s">
        <v>1535</v>
      </c>
      <c r="H345" t="s">
        <v>1536</v>
      </c>
      <c r="I345" t="s">
        <v>1537</v>
      </c>
      <c r="J345" t="s">
        <v>1538</v>
      </c>
      <c r="K345" t="s">
        <v>1539</v>
      </c>
      <c r="L345" t="s">
        <v>87</v>
      </c>
      <c r="M345" t="s">
        <v>88</v>
      </c>
      <c r="N345" t="s">
        <v>89</v>
      </c>
      <c r="O345" t="s">
        <v>150</v>
      </c>
      <c r="P345" t="s">
        <v>82</v>
      </c>
      <c r="Q345" t="s">
        <v>1540</v>
      </c>
      <c r="R345" t="s">
        <v>1541</v>
      </c>
      <c r="S345" t="s">
        <v>1542</v>
      </c>
      <c r="T345" s="15">
        <v>47542</v>
      </c>
      <c r="U345">
        <v>272</v>
      </c>
      <c r="V345">
        <v>4.7300000000000004</v>
      </c>
      <c r="W345" t="s">
        <v>70</v>
      </c>
      <c r="X345" t="s">
        <v>85</v>
      </c>
      <c r="Y345">
        <v>1</v>
      </c>
      <c r="Z345">
        <v>0</v>
      </c>
      <c r="AA345">
        <v>0</v>
      </c>
    </row>
    <row r="346" spans="1:27" x14ac:dyDescent="0.3">
      <c r="A346" t="s">
        <v>1074</v>
      </c>
      <c r="B346" s="15">
        <v>45842</v>
      </c>
      <c r="C346" t="s">
        <v>497</v>
      </c>
      <c r="D346" t="s">
        <v>55</v>
      </c>
      <c r="E346" t="s">
        <v>347</v>
      </c>
      <c r="F346" t="s">
        <v>1543</v>
      </c>
      <c r="G346" t="s">
        <v>349</v>
      </c>
      <c r="H346" t="s">
        <v>912</v>
      </c>
      <c r="I346" t="s">
        <v>113</v>
      </c>
      <c r="J346" t="s">
        <v>114</v>
      </c>
      <c r="K346" t="s">
        <v>115</v>
      </c>
      <c r="L346" t="s">
        <v>87</v>
      </c>
      <c r="M346" t="s">
        <v>601</v>
      </c>
      <c r="N346" t="s">
        <v>602</v>
      </c>
      <c r="O346" t="s">
        <v>1079</v>
      </c>
      <c r="P346" t="s">
        <v>119</v>
      </c>
      <c r="Q346" t="s">
        <v>1097</v>
      </c>
      <c r="R346" t="s">
        <v>1098</v>
      </c>
      <c r="S346" t="s">
        <v>1544</v>
      </c>
      <c r="T346" s="15">
        <v>46354</v>
      </c>
      <c r="U346">
        <v>270</v>
      </c>
      <c r="V346">
        <v>78.09</v>
      </c>
      <c r="W346" t="s">
        <v>70</v>
      </c>
      <c r="X346" t="s">
        <v>107</v>
      </c>
      <c r="Y346">
        <v>1</v>
      </c>
      <c r="Z346">
        <v>0</v>
      </c>
      <c r="AA346">
        <v>0</v>
      </c>
    </row>
    <row r="347" spans="1:27" x14ac:dyDescent="0.3">
      <c r="A347" t="s">
        <v>596</v>
      </c>
      <c r="B347" s="15">
        <v>45842</v>
      </c>
      <c r="C347" t="s">
        <v>497</v>
      </c>
      <c r="D347" t="s">
        <v>55</v>
      </c>
      <c r="E347" t="s">
        <v>1545</v>
      </c>
      <c r="F347" t="s">
        <v>1546</v>
      </c>
      <c r="G347" t="s">
        <v>1547</v>
      </c>
      <c r="H347" t="s">
        <v>1548</v>
      </c>
      <c r="I347" t="s">
        <v>1549</v>
      </c>
      <c r="J347" t="s">
        <v>1550</v>
      </c>
      <c r="K347" t="s">
        <v>1551</v>
      </c>
      <c r="L347" t="s">
        <v>87</v>
      </c>
      <c r="M347" t="s">
        <v>601</v>
      </c>
      <c r="N347" t="s">
        <v>602</v>
      </c>
      <c r="O347" t="s">
        <v>603</v>
      </c>
      <c r="P347" t="s">
        <v>82</v>
      </c>
      <c r="Q347" t="s">
        <v>1552</v>
      </c>
      <c r="R347" t="s">
        <v>1553</v>
      </c>
      <c r="S347" t="s">
        <v>1554</v>
      </c>
      <c r="T347" s="15">
        <v>46474</v>
      </c>
      <c r="U347">
        <v>270</v>
      </c>
      <c r="V347">
        <v>4.99</v>
      </c>
      <c r="W347" t="s">
        <v>70</v>
      </c>
      <c r="X347" t="s">
        <v>107</v>
      </c>
      <c r="Y347">
        <v>1</v>
      </c>
      <c r="Z347">
        <v>0</v>
      </c>
      <c r="AA347">
        <v>0</v>
      </c>
    </row>
    <row r="348" spans="1:27" x14ac:dyDescent="0.3">
      <c r="A348" t="s">
        <v>1555</v>
      </c>
      <c r="B348" s="15">
        <v>45931</v>
      </c>
      <c r="C348" t="s">
        <v>651</v>
      </c>
      <c r="D348" t="s">
        <v>55</v>
      </c>
      <c r="E348" t="s">
        <v>479</v>
      </c>
      <c r="F348" t="s">
        <v>480</v>
      </c>
      <c r="G348" t="s">
        <v>481</v>
      </c>
      <c r="H348" t="s">
        <v>482</v>
      </c>
      <c r="I348" t="s">
        <v>483</v>
      </c>
      <c r="J348" t="s">
        <v>484</v>
      </c>
      <c r="K348" t="s">
        <v>485</v>
      </c>
      <c r="L348" t="s">
        <v>498</v>
      </c>
      <c r="M348" t="s">
        <v>1556</v>
      </c>
      <c r="N348" t="s">
        <v>1557</v>
      </c>
      <c r="O348" t="s">
        <v>1558</v>
      </c>
      <c r="P348" t="s">
        <v>82</v>
      </c>
      <c r="Q348" t="s">
        <v>486</v>
      </c>
      <c r="R348" t="s">
        <v>487</v>
      </c>
      <c r="S348" t="s">
        <v>488</v>
      </c>
      <c r="T348" s="15">
        <v>47358</v>
      </c>
      <c r="U348">
        <v>270</v>
      </c>
      <c r="V348">
        <v>2.85</v>
      </c>
      <c r="W348" t="s">
        <v>70</v>
      </c>
      <c r="X348" t="s">
        <v>85</v>
      </c>
      <c r="Y348">
        <v>1</v>
      </c>
      <c r="Z348">
        <v>1</v>
      </c>
      <c r="AA348">
        <v>0</v>
      </c>
    </row>
    <row r="349" spans="1:27" x14ac:dyDescent="0.3">
      <c r="A349" t="s">
        <v>72</v>
      </c>
      <c r="B349" s="15">
        <v>45931</v>
      </c>
      <c r="C349" t="s">
        <v>73</v>
      </c>
      <c r="D349" t="s">
        <v>55</v>
      </c>
      <c r="E349" t="s">
        <v>1419</v>
      </c>
      <c r="F349" t="s">
        <v>1420</v>
      </c>
      <c r="G349" t="s">
        <v>1421</v>
      </c>
      <c r="H349" t="s">
        <v>1422</v>
      </c>
      <c r="I349" t="s">
        <v>643</v>
      </c>
      <c r="J349" t="s">
        <v>644</v>
      </c>
      <c r="K349" t="s">
        <v>645</v>
      </c>
      <c r="L349" t="s">
        <v>63</v>
      </c>
      <c r="M349" t="s">
        <v>64</v>
      </c>
      <c r="N349" t="s">
        <v>65</v>
      </c>
      <c r="O349" t="s">
        <v>81</v>
      </c>
      <c r="P349" t="s">
        <v>82</v>
      </c>
      <c r="Q349" t="s">
        <v>1423</v>
      </c>
      <c r="R349" t="s">
        <v>1424</v>
      </c>
      <c r="S349" t="s">
        <v>1425</v>
      </c>
      <c r="T349" s="15">
        <v>46452</v>
      </c>
      <c r="U349">
        <v>264</v>
      </c>
      <c r="V349">
        <v>4</v>
      </c>
      <c r="W349" t="s">
        <v>70</v>
      </c>
      <c r="X349" t="s">
        <v>85</v>
      </c>
      <c r="Y349">
        <v>1</v>
      </c>
      <c r="Z349">
        <v>0</v>
      </c>
      <c r="AA349">
        <v>0</v>
      </c>
    </row>
    <row r="350" spans="1:27" x14ac:dyDescent="0.3">
      <c r="A350" t="s">
        <v>781</v>
      </c>
      <c r="B350" s="15">
        <v>45842</v>
      </c>
      <c r="C350" t="s">
        <v>179</v>
      </c>
      <c r="D350" t="s">
        <v>55</v>
      </c>
      <c r="E350" t="s">
        <v>1559</v>
      </c>
      <c r="F350" t="s">
        <v>1560</v>
      </c>
      <c r="G350" t="s">
        <v>1561</v>
      </c>
      <c r="H350" t="s">
        <v>1562</v>
      </c>
      <c r="I350" t="s">
        <v>113</v>
      </c>
      <c r="J350" t="s">
        <v>1563</v>
      </c>
      <c r="K350" t="s">
        <v>1564</v>
      </c>
      <c r="L350" t="s">
        <v>100</v>
      </c>
      <c r="M350" t="s">
        <v>101</v>
      </c>
      <c r="N350" t="s">
        <v>102</v>
      </c>
      <c r="O350" t="s">
        <v>788</v>
      </c>
      <c r="P350" t="s">
        <v>119</v>
      </c>
      <c r="Q350" t="s">
        <v>1565</v>
      </c>
      <c r="R350" t="s">
        <v>1566</v>
      </c>
      <c r="S350" t="s">
        <v>1567</v>
      </c>
      <c r="T350" s="15">
        <v>46901</v>
      </c>
      <c r="U350">
        <v>260</v>
      </c>
      <c r="V350">
        <v>6.5</v>
      </c>
      <c r="W350" t="s">
        <v>70</v>
      </c>
      <c r="X350" t="s">
        <v>107</v>
      </c>
      <c r="Y350">
        <v>1</v>
      </c>
      <c r="Z350">
        <v>0</v>
      </c>
      <c r="AA350">
        <v>1</v>
      </c>
    </row>
    <row r="351" spans="1:27" x14ac:dyDescent="0.3">
      <c r="A351" t="s">
        <v>72</v>
      </c>
      <c r="B351" s="15">
        <v>45931</v>
      </c>
      <c r="C351" t="s">
        <v>73</v>
      </c>
      <c r="D351" t="s">
        <v>55</v>
      </c>
      <c r="E351" t="s">
        <v>1568</v>
      </c>
      <c r="F351" t="s">
        <v>1569</v>
      </c>
      <c r="G351" t="s">
        <v>1570</v>
      </c>
      <c r="H351" t="s">
        <v>1571</v>
      </c>
      <c r="I351" t="s">
        <v>1572</v>
      </c>
      <c r="J351" t="s">
        <v>1573</v>
      </c>
      <c r="K351" t="s">
        <v>1574</v>
      </c>
      <c r="L351" t="s">
        <v>63</v>
      </c>
      <c r="M351" t="s">
        <v>64</v>
      </c>
      <c r="N351" t="s">
        <v>65</v>
      </c>
      <c r="O351" t="s">
        <v>81</v>
      </c>
      <c r="P351" t="s">
        <v>82</v>
      </c>
      <c r="Q351" t="s">
        <v>1575</v>
      </c>
      <c r="R351" t="s">
        <v>1576</v>
      </c>
      <c r="S351" t="s">
        <v>1577</v>
      </c>
      <c r="T351" s="15">
        <v>46596</v>
      </c>
      <c r="U351">
        <v>260</v>
      </c>
      <c r="V351">
        <v>15.15</v>
      </c>
      <c r="W351" t="s">
        <v>70</v>
      </c>
      <c r="X351" t="s">
        <v>85</v>
      </c>
      <c r="Y351">
        <v>1</v>
      </c>
      <c r="Z351">
        <v>0</v>
      </c>
      <c r="AA351">
        <v>0</v>
      </c>
    </row>
    <row r="352" spans="1:27" x14ac:dyDescent="0.3">
      <c r="A352" t="s">
        <v>1301</v>
      </c>
      <c r="B352" s="15">
        <v>45842</v>
      </c>
      <c r="C352" t="s">
        <v>73</v>
      </c>
      <c r="D352" t="s">
        <v>55</v>
      </c>
      <c r="E352" t="s">
        <v>347</v>
      </c>
      <c r="F352" t="s">
        <v>1543</v>
      </c>
      <c r="G352" t="s">
        <v>349</v>
      </c>
      <c r="H352" t="s">
        <v>912</v>
      </c>
      <c r="I352" t="s">
        <v>113</v>
      </c>
      <c r="J352" t="s">
        <v>114</v>
      </c>
      <c r="K352" t="s">
        <v>115</v>
      </c>
      <c r="L352" t="s">
        <v>87</v>
      </c>
      <c r="M352" t="s">
        <v>768</v>
      </c>
      <c r="N352" t="s">
        <v>769</v>
      </c>
      <c r="O352" t="s">
        <v>1302</v>
      </c>
      <c r="P352" t="s">
        <v>119</v>
      </c>
      <c r="Q352" t="s">
        <v>1097</v>
      </c>
      <c r="R352" t="s">
        <v>1098</v>
      </c>
      <c r="S352" t="s">
        <v>1544</v>
      </c>
      <c r="T352" s="15">
        <v>46354</v>
      </c>
      <c r="U352">
        <v>259</v>
      </c>
      <c r="V352">
        <v>78.09</v>
      </c>
      <c r="W352" t="s">
        <v>70</v>
      </c>
      <c r="X352" t="s">
        <v>107</v>
      </c>
      <c r="Y352">
        <v>1</v>
      </c>
      <c r="Z352">
        <v>0</v>
      </c>
      <c r="AA352">
        <v>0</v>
      </c>
    </row>
    <row r="353" spans="1:27" x14ac:dyDescent="0.3">
      <c r="A353" t="s">
        <v>1578</v>
      </c>
      <c r="B353" s="15">
        <v>45752</v>
      </c>
      <c r="C353" t="s">
        <v>503</v>
      </c>
      <c r="D353" t="s">
        <v>55</v>
      </c>
      <c r="E353" t="s">
        <v>920</v>
      </c>
      <c r="F353" t="s">
        <v>921</v>
      </c>
      <c r="G353" t="s">
        <v>922</v>
      </c>
      <c r="H353" t="s">
        <v>923</v>
      </c>
      <c r="I353" t="s">
        <v>673</v>
      </c>
      <c r="J353" t="s">
        <v>527</v>
      </c>
      <c r="K353" t="s">
        <v>528</v>
      </c>
      <c r="L353" t="s">
        <v>87</v>
      </c>
      <c r="M353" t="s">
        <v>874</v>
      </c>
      <c r="N353" t="s">
        <v>875</v>
      </c>
      <c r="O353" t="s">
        <v>1579</v>
      </c>
      <c r="P353" t="s">
        <v>82</v>
      </c>
      <c r="Q353" t="s">
        <v>665</v>
      </c>
      <c r="R353" t="s">
        <v>666</v>
      </c>
      <c r="S353" t="s">
        <v>927</v>
      </c>
      <c r="T353" s="15">
        <v>47297</v>
      </c>
      <c r="U353">
        <v>258</v>
      </c>
      <c r="V353">
        <v>1.27</v>
      </c>
      <c r="W353" t="s">
        <v>70</v>
      </c>
      <c r="X353" t="s">
        <v>123</v>
      </c>
      <c r="Y353">
        <v>0</v>
      </c>
      <c r="Z353">
        <v>0</v>
      </c>
      <c r="AA353">
        <v>0</v>
      </c>
    </row>
    <row r="354" spans="1:27" x14ac:dyDescent="0.3">
      <c r="A354" t="s">
        <v>596</v>
      </c>
      <c r="B354" s="15">
        <v>45842</v>
      </c>
      <c r="C354" t="s">
        <v>497</v>
      </c>
      <c r="D354" t="s">
        <v>55</v>
      </c>
      <c r="E354" t="s">
        <v>1580</v>
      </c>
      <c r="F354" t="s">
        <v>1581</v>
      </c>
      <c r="G354" t="s">
        <v>1582</v>
      </c>
      <c r="H354" t="s">
        <v>1583</v>
      </c>
      <c r="I354" t="s">
        <v>254</v>
      </c>
      <c r="J354" t="s">
        <v>139</v>
      </c>
      <c r="K354" t="s">
        <v>140</v>
      </c>
      <c r="L354" t="s">
        <v>87</v>
      </c>
      <c r="M354" t="s">
        <v>601</v>
      </c>
      <c r="N354" t="s">
        <v>602</v>
      </c>
      <c r="O354" t="s">
        <v>603</v>
      </c>
      <c r="P354" t="s">
        <v>82</v>
      </c>
      <c r="Q354" t="s">
        <v>1584</v>
      </c>
      <c r="R354" t="s">
        <v>1585</v>
      </c>
      <c r="S354" t="s">
        <v>1586</v>
      </c>
      <c r="T354" s="15">
        <v>46384</v>
      </c>
      <c r="U354">
        <v>257</v>
      </c>
      <c r="V354">
        <v>5.8</v>
      </c>
      <c r="W354" t="s">
        <v>70</v>
      </c>
      <c r="X354" t="s">
        <v>107</v>
      </c>
      <c r="Y354">
        <v>1</v>
      </c>
      <c r="Z354">
        <v>0</v>
      </c>
      <c r="AA354">
        <v>0</v>
      </c>
    </row>
    <row r="355" spans="1:27" x14ac:dyDescent="0.3">
      <c r="A355" t="s">
        <v>596</v>
      </c>
      <c r="B355" s="15">
        <v>45842</v>
      </c>
      <c r="C355" t="s">
        <v>497</v>
      </c>
      <c r="D355" t="s">
        <v>55</v>
      </c>
      <c r="E355" t="s">
        <v>1587</v>
      </c>
      <c r="F355" t="s">
        <v>1588</v>
      </c>
      <c r="G355" t="s">
        <v>1589</v>
      </c>
      <c r="H355" t="s">
        <v>1590</v>
      </c>
      <c r="I355" t="s">
        <v>254</v>
      </c>
      <c r="J355" t="s">
        <v>139</v>
      </c>
      <c r="K355" t="s">
        <v>140</v>
      </c>
      <c r="L355" t="s">
        <v>87</v>
      </c>
      <c r="M355" t="s">
        <v>601</v>
      </c>
      <c r="N355" t="s">
        <v>602</v>
      </c>
      <c r="O355" t="s">
        <v>603</v>
      </c>
      <c r="P355" t="s">
        <v>82</v>
      </c>
      <c r="Q355" t="s">
        <v>131</v>
      </c>
      <c r="R355" t="s">
        <v>132</v>
      </c>
      <c r="S355" t="s">
        <v>1591</v>
      </c>
      <c r="T355" s="15">
        <v>46415</v>
      </c>
      <c r="U355">
        <v>255</v>
      </c>
      <c r="V355">
        <v>11.66</v>
      </c>
      <c r="W355" t="s">
        <v>70</v>
      </c>
      <c r="X355" t="s">
        <v>107</v>
      </c>
      <c r="Y355">
        <v>1</v>
      </c>
      <c r="Z355">
        <v>0</v>
      </c>
      <c r="AA355">
        <v>0</v>
      </c>
    </row>
    <row r="356" spans="1:27" x14ac:dyDescent="0.3">
      <c r="A356" t="s">
        <v>1592</v>
      </c>
      <c r="B356" s="15">
        <v>45661</v>
      </c>
      <c r="C356" t="s">
        <v>54</v>
      </c>
      <c r="D356" t="s">
        <v>55</v>
      </c>
      <c r="E356" t="s">
        <v>550</v>
      </c>
      <c r="F356" t="s">
        <v>1593</v>
      </c>
      <c r="G356" t="s">
        <v>552</v>
      </c>
      <c r="H356" t="s">
        <v>1594</v>
      </c>
      <c r="I356" t="s">
        <v>167</v>
      </c>
      <c r="J356" t="s">
        <v>184</v>
      </c>
      <c r="K356" t="s">
        <v>185</v>
      </c>
      <c r="L356" t="s">
        <v>186</v>
      </c>
      <c r="M356" t="s">
        <v>265</v>
      </c>
      <c r="N356" t="s">
        <v>266</v>
      </c>
      <c r="O356" t="s">
        <v>1595</v>
      </c>
      <c r="P356" t="s">
        <v>167</v>
      </c>
      <c r="Q356" t="s">
        <v>1213</v>
      </c>
      <c r="R356" t="s">
        <v>1214</v>
      </c>
      <c r="S356" t="s">
        <v>1596</v>
      </c>
      <c r="T356" s="15">
        <v>45928</v>
      </c>
      <c r="U356">
        <v>252</v>
      </c>
      <c r="V356">
        <v>70</v>
      </c>
      <c r="W356" t="s">
        <v>70</v>
      </c>
      <c r="X356" t="s">
        <v>193</v>
      </c>
      <c r="Y356">
        <v>1</v>
      </c>
      <c r="Z356">
        <v>0</v>
      </c>
      <c r="AA356">
        <v>0</v>
      </c>
    </row>
    <row r="357" spans="1:27" x14ac:dyDescent="0.3">
      <c r="A357" t="s">
        <v>142</v>
      </c>
      <c r="B357" s="15">
        <v>45931</v>
      </c>
      <c r="C357" t="s">
        <v>93</v>
      </c>
      <c r="D357" t="s">
        <v>55</v>
      </c>
      <c r="E357" t="s">
        <v>1597</v>
      </c>
      <c r="F357" t="s">
        <v>1598</v>
      </c>
      <c r="G357" t="s">
        <v>1599</v>
      </c>
      <c r="H357" t="s">
        <v>1600</v>
      </c>
      <c r="I357" t="s">
        <v>1601</v>
      </c>
      <c r="J357" t="s">
        <v>1602</v>
      </c>
      <c r="K357" t="s">
        <v>1603</v>
      </c>
      <c r="L357" t="s">
        <v>87</v>
      </c>
      <c r="M357" t="s">
        <v>88</v>
      </c>
      <c r="N357" t="s">
        <v>89</v>
      </c>
      <c r="O357" t="s">
        <v>150</v>
      </c>
      <c r="P357" t="s">
        <v>82</v>
      </c>
      <c r="Q357" t="s">
        <v>1604</v>
      </c>
      <c r="R357" t="s">
        <v>1605</v>
      </c>
      <c r="S357" t="s">
        <v>1606</v>
      </c>
      <c r="T357" s="15">
        <v>46505</v>
      </c>
      <c r="U357">
        <v>252</v>
      </c>
      <c r="V357">
        <v>2.4900000000000002</v>
      </c>
      <c r="W357" t="s">
        <v>70</v>
      </c>
      <c r="X357" t="s">
        <v>85</v>
      </c>
      <c r="Y357">
        <v>1</v>
      </c>
      <c r="Z357">
        <v>0</v>
      </c>
      <c r="AA357">
        <v>0</v>
      </c>
    </row>
    <row r="358" spans="1:27" x14ac:dyDescent="0.3">
      <c r="A358" t="s">
        <v>1607</v>
      </c>
      <c r="B358" s="15">
        <v>45842</v>
      </c>
      <c r="C358" t="s">
        <v>625</v>
      </c>
      <c r="D358" t="s">
        <v>55</v>
      </c>
      <c r="E358" t="s">
        <v>322</v>
      </c>
      <c r="F358" t="s">
        <v>323</v>
      </c>
      <c r="G358" t="s">
        <v>324</v>
      </c>
      <c r="H358" t="s">
        <v>325</v>
      </c>
      <c r="I358" t="s">
        <v>167</v>
      </c>
      <c r="J358" t="s">
        <v>326</v>
      </c>
      <c r="K358" t="s">
        <v>327</v>
      </c>
      <c r="L358" t="s">
        <v>498</v>
      </c>
      <c r="M358" t="s">
        <v>1608</v>
      </c>
      <c r="N358" t="s">
        <v>1609</v>
      </c>
      <c r="O358" t="s">
        <v>1610</v>
      </c>
      <c r="P358" t="s">
        <v>167</v>
      </c>
      <c r="Q358" t="s">
        <v>331</v>
      </c>
      <c r="R358" t="s">
        <v>332</v>
      </c>
      <c r="S358" t="s">
        <v>333</v>
      </c>
      <c r="T358" s="15">
        <v>47266</v>
      </c>
      <c r="U358">
        <v>250</v>
      </c>
      <c r="V358">
        <v>0.61</v>
      </c>
      <c r="W358" t="s">
        <v>70</v>
      </c>
      <c r="X358" t="s">
        <v>107</v>
      </c>
      <c r="Y358">
        <v>1</v>
      </c>
      <c r="Z358">
        <v>0</v>
      </c>
      <c r="AA358">
        <v>0</v>
      </c>
    </row>
    <row r="359" spans="1:27" x14ac:dyDescent="0.3">
      <c r="A359" t="s">
        <v>1611</v>
      </c>
      <c r="B359" s="15">
        <v>45842</v>
      </c>
      <c r="C359" t="s">
        <v>54</v>
      </c>
      <c r="D359" t="s">
        <v>55</v>
      </c>
      <c r="E359" t="s">
        <v>322</v>
      </c>
      <c r="F359" t="s">
        <v>323</v>
      </c>
      <c r="G359" t="s">
        <v>324</v>
      </c>
      <c r="H359" t="s">
        <v>325</v>
      </c>
      <c r="I359" t="s">
        <v>167</v>
      </c>
      <c r="J359" t="s">
        <v>326</v>
      </c>
      <c r="K359" t="s">
        <v>327</v>
      </c>
      <c r="L359" t="s">
        <v>498</v>
      </c>
      <c r="M359" t="s">
        <v>1612</v>
      </c>
      <c r="N359" t="s">
        <v>1613</v>
      </c>
      <c r="O359" t="s">
        <v>1614</v>
      </c>
      <c r="P359" t="s">
        <v>167</v>
      </c>
      <c r="Q359" t="s">
        <v>331</v>
      </c>
      <c r="R359" t="s">
        <v>332</v>
      </c>
      <c r="S359" t="s">
        <v>333</v>
      </c>
      <c r="T359" s="15">
        <v>47266</v>
      </c>
      <c r="U359">
        <v>250</v>
      </c>
      <c r="V359">
        <v>0.61</v>
      </c>
      <c r="W359" t="s">
        <v>70</v>
      </c>
      <c r="X359" t="s">
        <v>107</v>
      </c>
      <c r="Y359">
        <v>1</v>
      </c>
      <c r="Z359">
        <v>0</v>
      </c>
      <c r="AA359">
        <v>0</v>
      </c>
    </row>
    <row r="360" spans="1:27" x14ac:dyDescent="0.3">
      <c r="A360" t="s">
        <v>1615</v>
      </c>
      <c r="B360" s="15">
        <v>45842</v>
      </c>
      <c r="C360" t="s">
        <v>625</v>
      </c>
      <c r="D360" t="s">
        <v>55</v>
      </c>
      <c r="E360" t="s">
        <v>322</v>
      </c>
      <c r="F360" t="s">
        <v>323</v>
      </c>
      <c r="G360" t="s">
        <v>324</v>
      </c>
      <c r="H360" t="s">
        <v>325</v>
      </c>
      <c r="I360" t="s">
        <v>167</v>
      </c>
      <c r="J360" t="s">
        <v>326</v>
      </c>
      <c r="K360" t="s">
        <v>327</v>
      </c>
      <c r="L360" t="s">
        <v>498</v>
      </c>
      <c r="M360" t="s">
        <v>1616</v>
      </c>
      <c r="N360" t="s">
        <v>1617</v>
      </c>
      <c r="O360" t="s">
        <v>1618</v>
      </c>
      <c r="P360" t="s">
        <v>167</v>
      </c>
      <c r="Q360" t="s">
        <v>331</v>
      </c>
      <c r="R360" t="s">
        <v>332</v>
      </c>
      <c r="S360" t="s">
        <v>333</v>
      </c>
      <c r="T360" s="15">
        <v>47266</v>
      </c>
      <c r="U360">
        <v>250</v>
      </c>
      <c r="V360">
        <v>0.61</v>
      </c>
      <c r="W360" t="s">
        <v>70</v>
      </c>
      <c r="X360" t="s">
        <v>107</v>
      </c>
      <c r="Y360">
        <v>1</v>
      </c>
      <c r="Z360">
        <v>1</v>
      </c>
      <c r="AA360">
        <v>0</v>
      </c>
    </row>
    <row r="361" spans="1:27" x14ac:dyDescent="0.3">
      <c r="A361" t="s">
        <v>1619</v>
      </c>
      <c r="B361" s="15">
        <v>45842</v>
      </c>
      <c r="C361" t="s">
        <v>625</v>
      </c>
      <c r="D361" t="s">
        <v>55</v>
      </c>
      <c r="E361" t="s">
        <v>322</v>
      </c>
      <c r="F361" t="s">
        <v>323</v>
      </c>
      <c r="G361" t="s">
        <v>324</v>
      </c>
      <c r="H361" t="s">
        <v>325</v>
      </c>
      <c r="I361" t="s">
        <v>167</v>
      </c>
      <c r="J361" t="s">
        <v>326</v>
      </c>
      <c r="K361" t="s">
        <v>327</v>
      </c>
      <c r="L361" t="s">
        <v>498</v>
      </c>
      <c r="M361" t="s">
        <v>1620</v>
      </c>
      <c r="N361" t="s">
        <v>1621</v>
      </c>
      <c r="O361" t="s">
        <v>1622</v>
      </c>
      <c r="P361" t="s">
        <v>167</v>
      </c>
      <c r="Q361" t="s">
        <v>331</v>
      </c>
      <c r="R361" t="s">
        <v>332</v>
      </c>
      <c r="S361" t="s">
        <v>333</v>
      </c>
      <c r="T361" s="15">
        <v>47266</v>
      </c>
      <c r="U361">
        <v>250</v>
      </c>
      <c r="V361">
        <v>0.61</v>
      </c>
      <c r="W361" t="s">
        <v>70</v>
      </c>
      <c r="X361" t="s">
        <v>107</v>
      </c>
      <c r="Y361">
        <v>1</v>
      </c>
      <c r="Z361">
        <v>0</v>
      </c>
      <c r="AA361">
        <v>0</v>
      </c>
    </row>
    <row r="362" spans="1:27" x14ac:dyDescent="0.3">
      <c r="A362" t="s">
        <v>892</v>
      </c>
      <c r="B362" s="15">
        <v>45842</v>
      </c>
      <c r="C362" t="s">
        <v>497</v>
      </c>
      <c r="D362" t="s">
        <v>55</v>
      </c>
      <c r="E362" t="s">
        <v>1623</v>
      </c>
      <c r="F362" t="s">
        <v>1624</v>
      </c>
      <c r="G362" t="s">
        <v>1625</v>
      </c>
      <c r="H362" t="s">
        <v>1626</v>
      </c>
      <c r="I362" t="s">
        <v>167</v>
      </c>
      <c r="J362" t="s">
        <v>621</v>
      </c>
      <c r="K362" t="s">
        <v>622</v>
      </c>
      <c r="L362" t="s">
        <v>87</v>
      </c>
      <c r="M362" t="s">
        <v>601</v>
      </c>
      <c r="N362" t="s">
        <v>602</v>
      </c>
      <c r="O362" t="s">
        <v>899</v>
      </c>
      <c r="P362" t="s">
        <v>167</v>
      </c>
      <c r="Q362" t="s">
        <v>1627</v>
      </c>
      <c r="R362" t="s">
        <v>1628</v>
      </c>
      <c r="S362" t="s">
        <v>1629</v>
      </c>
      <c r="T362" s="15">
        <v>46446</v>
      </c>
      <c r="U362">
        <v>250</v>
      </c>
      <c r="V362">
        <v>18.11</v>
      </c>
      <c r="W362" t="s">
        <v>70</v>
      </c>
      <c r="X362" t="s">
        <v>107</v>
      </c>
      <c r="Y362">
        <v>1</v>
      </c>
      <c r="Z362">
        <v>0</v>
      </c>
      <c r="AA362">
        <v>0</v>
      </c>
    </row>
    <row r="363" spans="1:27" x14ac:dyDescent="0.3">
      <c r="A363" t="s">
        <v>828</v>
      </c>
      <c r="B363" s="15">
        <v>45815</v>
      </c>
      <c r="C363" t="s">
        <v>272</v>
      </c>
      <c r="D363" t="s">
        <v>55</v>
      </c>
      <c r="E363" t="s">
        <v>1630</v>
      </c>
      <c r="F363" t="s">
        <v>1631</v>
      </c>
      <c r="G363" t="s">
        <v>1632</v>
      </c>
      <c r="H363" t="s">
        <v>1633</v>
      </c>
      <c r="I363" t="s">
        <v>167</v>
      </c>
      <c r="J363" t="s">
        <v>1634</v>
      </c>
      <c r="K363" t="s">
        <v>1635</v>
      </c>
      <c r="L363" t="s">
        <v>186</v>
      </c>
      <c r="M363" t="s">
        <v>239</v>
      </c>
      <c r="N363" t="s">
        <v>240</v>
      </c>
      <c r="O363" t="s">
        <v>835</v>
      </c>
      <c r="P363" t="s">
        <v>167</v>
      </c>
      <c r="Q363" t="s">
        <v>1636</v>
      </c>
      <c r="R363" t="s">
        <v>1637</v>
      </c>
      <c r="S363" t="s">
        <v>1638</v>
      </c>
      <c r="T363" s="15">
        <v>46354</v>
      </c>
      <c r="U363">
        <v>250</v>
      </c>
      <c r="V363">
        <v>205</v>
      </c>
      <c r="W363" t="s">
        <v>70</v>
      </c>
      <c r="X363" t="s">
        <v>177</v>
      </c>
      <c r="Y363">
        <v>1</v>
      </c>
      <c r="Z363">
        <v>0</v>
      </c>
      <c r="AA363">
        <v>0</v>
      </c>
    </row>
    <row r="364" spans="1:27" x14ac:dyDescent="0.3">
      <c r="A364" t="s">
        <v>765</v>
      </c>
      <c r="B364" s="15">
        <v>45815</v>
      </c>
      <c r="C364" t="s">
        <v>272</v>
      </c>
      <c r="D364" t="s">
        <v>55</v>
      </c>
      <c r="E364" t="s">
        <v>1639</v>
      </c>
      <c r="F364" t="s">
        <v>1640</v>
      </c>
      <c r="G364" t="s">
        <v>1641</v>
      </c>
      <c r="H364" t="s">
        <v>1642</v>
      </c>
      <c r="I364" t="s">
        <v>254</v>
      </c>
      <c r="J364" t="s">
        <v>139</v>
      </c>
      <c r="K364" t="s">
        <v>140</v>
      </c>
      <c r="L364" t="s">
        <v>186</v>
      </c>
      <c r="M364" t="s">
        <v>239</v>
      </c>
      <c r="N364" t="s">
        <v>240</v>
      </c>
      <c r="O364" t="s">
        <v>766</v>
      </c>
      <c r="P364" t="s">
        <v>82</v>
      </c>
      <c r="Q364" t="s">
        <v>1643</v>
      </c>
      <c r="R364" t="s">
        <v>1644</v>
      </c>
      <c r="S364" t="s">
        <v>1645</v>
      </c>
      <c r="T364" s="15">
        <v>46354</v>
      </c>
      <c r="U364">
        <v>250</v>
      </c>
      <c r="V364">
        <v>16.98</v>
      </c>
      <c r="W364" t="s">
        <v>70</v>
      </c>
      <c r="X364" t="s">
        <v>177</v>
      </c>
      <c r="Y364">
        <v>1</v>
      </c>
      <c r="Z364">
        <v>0</v>
      </c>
      <c r="AA364">
        <v>0</v>
      </c>
    </row>
    <row r="365" spans="1:27" x14ac:dyDescent="0.3">
      <c r="A365" t="s">
        <v>397</v>
      </c>
      <c r="B365" s="15">
        <v>45931</v>
      </c>
      <c r="C365" t="s">
        <v>398</v>
      </c>
      <c r="D365" t="s">
        <v>55</v>
      </c>
      <c r="E365" t="s">
        <v>842</v>
      </c>
      <c r="F365" t="s">
        <v>843</v>
      </c>
      <c r="G365" t="s">
        <v>844</v>
      </c>
      <c r="H365" t="s">
        <v>845</v>
      </c>
      <c r="I365" t="s">
        <v>846</v>
      </c>
      <c r="J365" t="s">
        <v>139</v>
      </c>
      <c r="K365" t="s">
        <v>140</v>
      </c>
      <c r="L365" t="s">
        <v>170</v>
      </c>
      <c r="M365" t="s">
        <v>171</v>
      </c>
      <c r="N365" t="s">
        <v>172</v>
      </c>
      <c r="O365" t="s">
        <v>399</v>
      </c>
      <c r="P365" t="s">
        <v>82</v>
      </c>
      <c r="Q365" t="s">
        <v>847</v>
      </c>
      <c r="R365" t="s">
        <v>848</v>
      </c>
      <c r="S365" t="s">
        <v>849</v>
      </c>
      <c r="T365" s="15">
        <v>47480</v>
      </c>
      <c r="U365">
        <v>250</v>
      </c>
      <c r="V365">
        <v>7.82</v>
      </c>
      <c r="W365" t="s">
        <v>70</v>
      </c>
      <c r="X365" t="s">
        <v>85</v>
      </c>
      <c r="Y365">
        <v>1</v>
      </c>
      <c r="Z365">
        <v>0</v>
      </c>
      <c r="AA365">
        <v>0</v>
      </c>
    </row>
    <row r="366" spans="1:27" x14ac:dyDescent="0.3">
      <c r="A366" t="s">
        <v>1045</v>
      </c>
      <c r="B366" s="15">
        <v>45931</v>
      </c>
      <c r="C366" t="s">
        <v>54</v>
      </c>
      <c r="D366" t="s">
        <v>55</v>
      </c>
      <c r="E366" t="s">
        <v>1646</v>
      </c>
      <c r="F366" t="s">
        <v>1647</v>
      </c>
      <c r="G366" t="s">
        <v>1648</v>
      </c>
      <c r="H366" t="s">
        <v>1649</v>
      </c>
      <c r="I366" t="s">
        <v>1518</v>
      </c>
      <c r="J366" t="s">
        <v>1235</v>
      </c>
      <c r="K366" t="s">
        <v>1236</v>
      </c>
      <c r="L366" t="s">
        <v>186</v>
      </c>
      <c r="M366" t="s">
        <v>1053</v>
      </c>
      <c r="N366" t="s">
        <v>1054</v>
      </c>
      <c r="O366" t="s">
        <v>1055</v>
      </c>
      <c r="P366" t="s">
        <v>82</v>
      </c>
      <c r="Q366" t="s">
        <v>972</v>
      </c>
      <c r="R366" t="s">
        <v>973</v>
      </c>
      <c r="S366" t="s">
        <v>1650</v>
      </c>
      <c r="T366" s="15">
        <v>46505</v>
      </c>
      <c r="U366">
        <v>250</v>
      </c>
      <c r="V366">
        <v>6.45</v>
      </c>
      <c r="W366" t="s">
        <v>70</v>
      </c>
      <c r="X366" t="s">
        <v>85</v>
      </c>
      <c r="Y366">
        <v>1</v>
      </c>
      <c r="Z366">
        <v>0</v>
      </c>
      <c r="AA366">
        <v>0</v>
      </c>
    </row>
    <row r="367" spans="1:27" x14ac:dyDescent="0.3">
      <c r="A367" t="s">
        <v>1651</v>
      </c>
      <c r="B367" s="15">
        <v>45918</v>
      </c>
      <c r="C367" t="s">
        <v>95</v>
      </c>
      <c r="D367" t="s">
        <v>55</v>
      </c>
      <c r="E367" t="s">
        <v>1652</v>
      </c>
      <c r="F367" t="s">
        <v>1653</v>
      </c>
      <c r="G367" t="s">
        <v>1654</v>
      </c>
      <c r="H367" t="s">
        <v>1655</v>
      </c>
      <c r="I367" t="s">
        <v>167</v>
      </c>
      <c r="J367" t="s">
        <v>519</v>
      </c>
      <c r="K367" t="s">
        <v>520</v>
      </c>
      <c r="L367" t="s">
        <v>718</v>
      </c>
      <c r="M367" t="s">
        <v>1656</v>
      </c>
      <c r="N367" t="s">
        <v>1657</v>
      </c>
      <c r="O367" t="s">
        <v>1658</v>
      </c>
      <c r="P367" t="s">
        <v>167</v>
      </c>
      <c r="Q367" t="s">
        <v>847</v>
      </c>
      <c r="R367" t="s">
        <v>848</v>
      </c>
      <c r="S367" t="s">
        <v>1659</v>
      </c>
      <c r="T367" s="15">
        <v>47480</v>
      </c>
      <c r="U367">
        <v>250</v>
      </c>
      <c r="V367">
        <v>64</v>
      </c>
      <c r="W367" t="s">
        <v>70</v>
      </c>
      <c r="X367" t="s">
        <v>71</v>
      </c>
      <c r="Y367">
        <v>1</v>
      </c>
      <c r="Z367">
        <v>1</v>
      </c>
      <c r="AA367">
        <v>0</v>
      </c>
    </row>
    <row r="368" spans="1:27" x14ac:dyDescent="0.3">
      <c r="A368" t="s">
        <v>1660</v>
      </c>
      <c r="B368" s="15">
        <v>45752</v>
      </c>
      <c r="C368" t="s">
        <v>272</v>
      </c>
      <c r="D368" t="s">
        <v>55</v>
      </c>
      <c r="F368" t="s">
        <v>1661</v>
      </c>
      <c r="G368" t="s">
        <v>1128</v>
      </c>
      <c r="H368" t="s">
        <v>1662</v>
      </c>
      <c r="I368" t="s">
        <v>113</v>
      </c>
      <c r="K368" t="s">
        <v>1131</v>
      </c>
      <c r="L368" t="s">
        <v>63</v>
      </c>
      <c r="M368" t="s">
        <v>116</v>
      </c>
      <c r="N368" t="s">
        <v>117</v>
      </c>
      <c r="O368" t="s">
        <v>1663</v>
      </c>
      <c r="P368" t="s">
        <v>119</v>
      </c>
      <c r="Q368" t="s">
        <v>1664</v>
      </c>
      <c r="R368" t="s">
        <v>1665</v>
      </c>
      <c r="S368" t="s">
        <v>1666</v>
      </c>
      <c r="T368" s="15">
        <v>46129</v>
      </c>
      <c r="U368">
        <v>250</v>
      </c>
      <c r="V368">
        <v>830.28</v>
      </c>
      <c r="W368" t="s">
        <v>1510</v>
      </c>
      <c r="X368" t="s">
        <v>123</v>
      </c>
      <c r="Y368">
        <v>1</v>
      </c>
      <c r="Z368">
        <v>0</v>
      </c>
      <c r="AA368">
        <v>0</v>
      </c>
    </row>
    <row r="369" spans="1:27" x14ac:dyDescent="0.3">
      <c r="A369" t="s">
        <v>86</v>
      </c>
      <c r="B369" s="15">
        <v>45931</v>
      </c>
      <c r="C369" t="s">
        <v>93</v>
      </c>
      <c r="D369" t="s">
        <v>55</v>
      </c>
      <c r="E369" t="s">
        <v>313</v>
      </c>
      <c r="F369" t="s">
        <v>790</v>
      </c>
      <c r="G369" t="s">
        <v>315</v>
      </c>
      <c r="H369" t="s">
        <v>316</v>
      </c>
      <c r="I369" t="s">
        <v>128</v>
      </c>
      <c r="J369" t="s">
        <v>129</v>
      </c>
      <c r="K369" t="s">
        <v>130</v>
      </c>
      <c r="L369" t="s">
        <v>87</v>
      </c>
      <c r="M369" t="s">
        <v>88</v>
      </c>
      <c r="N369" t="s">
        <v>89</v>
      </c>
      <c r="O369" t="s">
        <v>90</v>
      </c>
      <c r="P369" t="s">
        <v>82</v>
      </c>
      <c r="Q369" t="s">
        <v>317</v>
      </c>
      <c r="R369" t="s">
        <v>318</v>
      </c>
      <c r="S369" t="s">
        <v>792</v>
      </c>
      <c r="T369" s="15">
        <v>46505</v>
      </c>
      <c r="U369">
        <v>248</v>
      </c>
      <c r="V369">
        <v>10.06</v>
      </c>
      <c r="W369" t="s">
        <v>70</v>
      </c>
      <c r="X369" t="s">
        <v>85</v>
      </c>
      <c r="Y369">
        <v>0</v>
      </c>
      <c r="Z369">
        <v>0</v>
      </c>
      <c r="AA369">
        <v>0</v>
      </c>
    </row>
    <row r="370" spans="1:27" x14ac:dyDescent="0.3">
      <c r="A370" t="s">
        <v>238</v>
      </c>
      <c r="B370" s="15">
        <v>45931</v>
      </c>
      <c r="C370" t="s">
        <v>179</v>
      </c>
      <c r="D370" t="s">
        <v>55</v>
      </c>
      <c r="E370" t="s">
        <v>1169</v>
      </c>
      <c r="F370" t="s">
        <v>1170</v>
      </c>
      <c r="G370" t="s">
        <v>1171</v>
      </c>
      <c r="H370" t="s">
        <v>1172</v>
      </c>
      <c r="I370" t="s">
        <v>854</v>
      </c>
      <c r="J370" t="s">
        <v>79</v>
      </c>
      <c r="K370" t="s">
        <v>80</v>
      </c>
      <c r="L370" t="s">
        <v>186</v>
      </c>
      <c r="M370" t="s">
        <v>239</v>
      </c>
      <c r="N370" t="s">
        <v>240</v>
      </c>
      <c r="O370" t="s">
        <v>241</v>
      </c>
      <c r="P370" t="s">
        <v>82</v>
      </c>
      <c r="Q370" t="s">
        <v>855</v>
      </c>
      <c r="R370" t="s">
        <v>856</v>
      </c>
      <c r="S370" t="s">
        <v>1173</v>
      </c>
      <c r="T370" s="15">
        <v>46535</v>
      </c>
      <c r="U370">
        <v>246</v>
      </c>
      <c r="V370">
        <v>13.4</v>
      </c>
      <c r="W370" t="s">
        <v>70</v>
      </c>
      <c r="X370" t="s">
        <v>85</v>
      </c>
      <c r="Y370">
        <v>1</v>
      </c>
      <c r="Z370">
        <v>0</v>
      </c>
      <c r="AA370">
        <v>0</v>
      </c>
    </row>
    <row r="371" spans="1:27" x14ac:dyDescent="0.3">
      <c r="A371" t="s">
        <v>1253</v>
      </c>
      <c r="B371" s="15">
        <v>45842</v>
      </c>
      <c r="C371" t="s">
        <v>497</v>
      </c>
      <c r="D371" t="s">
        <v>55</v>
      </c>
      <c r="E371" t="s">
        <v>1667</v>
      </c>
      <c r="F371" t="s">
        <v>1668</v>
      </c>
      <c r="G371" t="s">
        <v>1669</v>
      </c>
      <c r="H371" t="s">
        <v>1670</v>
      </c>
      <c r="I371" t="s">
        <v>1671</v>
      </c>
      <c r="J371" t="s">
        <v>1672</v>
      </c>
      <c r="K371" t="s">
        <v>1673</v>
      </c>
      <c r="L371" t="s">
        <v>87</v>
      </c>
      <c r="M371" t="s">
        <v>1254</v>
      </c>
      <c r="N371" t="s">
        <v>1255</v>
      </c>
      <c r="O371" t="s">
        <v>1256</v>
      </c>
      <c r="P371" t="s">
        <v>82</v>
      </c>
      <c r="Q371" t="s">
        <v>1674</v>
      </c>
      <c r="R371" t="s">
        <v>1675</v>
      </c>
      <c r="S371" t="s">
        <v>1676</v>
      </c>
      <c r="T371" s="15">
        <v>46446</v>
      </c>
      <c r="U371">
        <v>245</v>
      </c>
      <c r="V371">
        <v>12.8</v>
      </c>
      <c r="W371" t="s">
        <v>70</v>
      </c>
      <c r="X371" t="s">
        <v>107</v>
      </c>
      <c r="Y371">
        <v>1</v>
      </c>
      <c r="Z371">
        <v>0</v>
      </c>
      <c r="AA371">
        <v>0</v>
      </c>
    </row>
    <row r="372" spans="1:27" x14ac:dyDescent="0.3">
      <c r="A372" t="s">
        <v>346</v>
      </c>
      <c r="B372" s="15">
        <v>45815</v>
      </c>
      <c r="C372" t="s">
        <v>272</v>
      </c>
      <c r="D372" t="s">
        <v>55</v>
      </c>
      <c r="E372" t="s">
        <v>347</v>
      </c>
      <c r="F372" t="s">
        <v>1677</v>
      </c>
      <c r="G372" t="s">
        <v>349</v>
      </c>
      <c r="H372" t="s">
        <v>1678</v>
      </c>
      <c r="I372" t="s">
        <v>113</v>
      </c>
      <c r="J372" t="s">
        <v>114</v>
      </c>
      <c r="K372" t="s">
        <v>115</v>
      </c>
      <c r="L372" t="s">
        <v>186</v>
      </c>
      <c r="M372" t="s">
        <v>239</v>
      </c>
      <c r="N372" t="s">
        <v>240</v>
      </c>
      <c r="O372" t="s">
        <v>351</v>
      </c>
      <c r="P372" t="s">
        <v>119</v>
      </c>
      <c r="Q372" t="s">
        <v>562</v>
      </c>
      <c r="R372" t="s">
        <v>563</v>
      </c>
      <c r="S372" t="s">
        <v>1679</v>
      </c>
      <c r="T372" s="15">
        <v>46719</v>
      </c>
      <c r="U372">
        <v>245</v>
      </c>
      <c r="V372">
        <v>6.93</v>
      </c>
      <c r="W372" t="s">
        <v>70</v>
      </c>
      <c r="X372" t="s">
        <v>177</v>
      </c>
      <c r="Y372">
        <v>1</v>
      </c>
      <c r="Z372">
        <v>1</v>
      </c>
      <c r="AA372">
        <v>0</v>
      </c>
    </row>
    <row r="373" spans="1:27" x14ac:dyDescent="0.3">
      <c r="A373" t="s">
        <v>596</v>
      </c>
      <c r="B373" s="15">
        <v>45842</v>
      </c>
      <c r="C373" t="s">
        <v>497</v>
      </c>
      <c r="D373" t="s">
        <v>55</v>
      </c>
      <c r="E373" t="s">
        <v>1680</v>
      </c>
      <c r="F373" t="s">
        <v>1681</v>
      </c>
      <c r="G373" t="s">
        <v>1682</v>
      </c>
      <c r="H373" t="s">
        <v>1683</v>
      </c>
      <c r="I373" t="s">
        <v>254</v>
      </c>
      <c r="J373" t="s">
        <v>139</v>
      </c>
      <c r="K373" t="s">
        <v>140</v>
      </c>
      <c r="L373" t="s">
        <v>87</v>
      </c>
      <c r="M373" t="s">
        <v>601</v>
      </c>
      <c r="N373" t="s">
        <v>602</v>
      </c>
      <c r="O373" t="s">
        <v>603</v>
      </c>
      <c r="P373" t="s">
        <v>82</v>
      </c>
      <c r="Q373" t="s">
        <v>317</v>
      </c>
      <c r="R373" t="s">
        <v>318</v>
      </c>
      <c r="S373" t="s">
        <v>1684</v>
      </c>
      <c r="T373" s="15">
        <v>46415</v>
      </c>
      <c r="U373">
        <v>244</v>
      </c>
      <c r="V373">
        <v>10.06</v>
      </c>
      <c r="W373" t="s">
        <v>70</v>
      </c>
      <c r="X373" t="s">
        <v>107</v>
      </c>
      <c r="Y373">
        <v>1</v>
      </c>
      <c r="Z373">
        <v>0</v>
      </c>
      <c r="AA373">
        <v>0</v>
      </c>
    </row>
    <row r="374" spans="1:27" x14ac:dyDescent="0.3">
      <c r="A374" t="s">
        <v>1685</v>
      </c>
      <c r="B374" s="15">
        <v>45842</v>
      </c>
      <c r="C374" t="s">
        <v>503</v>
      </c>
      <c r="D374" t="s">
        <v>55</v>
      </c>
      <c r="E374" t="s">
        <v>322</v>
      </c>
      <c r="F374" t="s">
        <v>1686</v>
      </c>
      <c r="G374" t="s">
        <v>324</v>
      </c>
      <c r="H374" t="s">
        <v>1687</v>
      </c>
      <c r="I374" t="s">
        <v>167</v>
      </c>
      <c r="J374" t="s">
        <v>326</v>
      </c>
      <c r="K374" t="s">
        <v>327</v>
      </c>
      <c r="L374" t="s">
        <v>186</v>
      </c>
      <c r="M374" t="s">
        <v>239</v>
      </c>
      <c r="N374" t="s">
        <v>240</v>
      </c>
      <c r="O374" t="s">
        <v>1688</v>
      </c>
      <c r="P374" t="s">
        <v>167</v>
      </c>
      <c r="Q374" t="s">
        <v>847</v>
      </c>
      <c r="R374" t="s">
        <v>848</v>
      </c>
      <c r="S374" t="s">
        <v>1689</v>
      </c>
      <c r="T374" s="15">
        <v>47115</v>
      </c>
      <c r="U374">
        <v>242</v>
      </c>
      <c r="V374">
        <v>14.9</v>
      </c>
      <c r="W374" t="s">
        <v>70</v>
      </c>
      <c r="X374" t="s">
        <v>107</v>
      </c>
      <c r="Y374">
        <v>1</v>
      </c>
      <c r="Z374">
        <v>0</v>
      </c>
      <c r="AA374">
        <v>0</v>
      </c>
    </row>
    <row r="375" spans="1:27" x14ac:dyDescent="0.3">
      <c r="A375" t="s">
        <v>928</v>
      </c>
      <c r="B375" s="15">
        <v>45842</v>
      </c>
      <c r="C375" t="s">
        <v>73</v>
      </c>
      <c r="D375" t="s">
        <v>55</v>
      </c>
      <c r="E375" t="s">
        <v>626</v>
      </c>
      <c r="F375" t="s">
        <v>1690</v>
      </c>
      <c r="G375" t="s">
        <v>628</v>
      </c>
      <c r="H375" t="s">
        <v>629</v>
      </c>
      <c r="I375" t="s">
        <v>167</v>
      </c>
      <c r="J375" t="s">
        <v>630</v>
      </c>
      <c r="K375" t="s">
        <v>631</v>
      </c>
      <c r="L375" t="s">
        <v>87</v>
      </c>
      <c r="M375" t="s">
        <v>768</v>
      </c>
      <c r="N375" t="s">
        <v>769</v>
      </c>
      <c r="O375" t="s">
        <v>929</v>
      </c>
      <c r="P375" t="s">
        <v>167</v>
      </c>
      <c r="Q375" t="s">
        <v>1691</v>
      </c>
      <c r="R375" t="s">
        <v>1692</v>
      </c>
      <c r="S375" t="s">
        <v>1693</v>
      </c>
      <c r="T375" s="15">
        <v>46284</v>
      </c>
      <c r="U375">
        <v>242</v>
      </c>
      <c r="V375">
        <v>8.2899999999999991</v>
      </c>
      <c r="W375" t="s">
        <v>70</v>
      </c>
      <c r="X375" t="s">
        <v>107</v>
      </c>
      <c r="Y375">
        <v>1</v>
      </c>
      <c r="Z375">
        <v>0</v>
      </c>
      <c r="AA375">
        <v>0</v>
      </c>
    </row>
    <row r="376" spans="1:27" x14ac:dyDescent="0.3">
      <c r="A376" t="s">
        <v>1074</v>
      </c>
      <c r="B376" s="15">
        <v>45842</v>
      </c>
      <c r="C376" t="s">
        <v>497</v>
      </c>
      <c r="D376" t="s">
        <v>55</v>
      </c>
      <c r="E376" t="s">
        <v>347</v>
      </c>
      <c r="F376" t="s">
        <v>1677</v>
      </c>
      <c r="G376" t="s">
        <v>349</v>
      </c>
      <c r="H376" t="s">
        <v>1678</v>
      </c>
      <c r="I376" t="s">
        <v>113</v>
      </c>
      <c r="J376" t="s">
        <v>114</v>
      </c>
      <c r="K376" t="s">
        <v>115</v>
      </c>
      <c r="L376" t="s">
        <v>87</v>
      </c>
      <c r="M376" t="s">
        <v>601</v>
      </c>
      <c r="N376" t="s">
        <v>602</v>
      </c>
      <c r="O376" t="s">
        <v>1079</v>
      </c>
      <c r="P376" t="s">
        <v>119</v>
      </c>
      <c r="Q376" t="s">
        <v>562</v>
      </c>
      <c r="R376" t="s">
        <v>563</v>
      </c>
      <c r="S376" t="s">
        <v>1679</v>
      </c>
      <c r="T376" s="15">
        <v>46719</v>
      </c>
      <c r="U376">
        <v>242</v>
      </c>
      <c r="V376">
        <v>6.93</v>
      </c>
      <c r="W376" t="s">
        <v>70</v>
      </c>
      <c r="X376" t="s">
        <v>107</v>
      </c>
      <c r="Y376">
        <v>1</v>
      </c>
      <c r="Z376">
        <v>0</v>
      </c>
      <c r="AA376">
        <v>0</v>
      </c>
    </row>
    <row r="377" spans="1:27" x14ac:dyDescent="0.3">
      <c r="A377" t="s">
        <v>1694</v>
      </c>
      <c r="B377" s="15">
        <v>45661</v>
      </c>
      <c r="C377" t="s">
        <v>179</v>
      </c>
      <c r="D377" t="s">
        <v>55</v>
      </c>
      <c r="E377" t="s">
        <v>1695</v>
      </c>
      <c r="F377" t="s">
        <v>1696</v>
      </c>
      <c r="G377" t="s">
        <v>1697</v>
      </c>
      <c r="H377" t="s">
        <v>1698</v>
      </c>
      <c r="I377" t="s">
        <v>1699</v>
      </c>
      <c r="J377" t="s">
        <v>644</v>
      </c>
      <c r="K377" t="s">
        <v>645</v>
      </c>
      <c r="L377" t="s">
        <v>186</v>
      </c>
      <c r="M377" t="s">
        <v>187</v>
      </c>
      <c r="N377" t="s">
        <v>188</v>
      </c>
      <c r="O377" t="s">
        <v>1700</v>
      </c>
      <c r="P377" t="s">
        <v>67</v>
      </c>
      <c r="Q377" t="s">
        <v>1701</v>
      </c>
      <c r="R377" t="s">
        <v>1702</v>
      </c>
      <c r="S377" t="s">
        <v>1703</v>
      </c>
      <c r="T377" s="15">
        <v>46137</v>
      </c>
      <c r="U377">
        <v>241</v>
      </c>
      <c r="V377">
        <v>8.8000000000000007</v>
      </c>
      <c r="W377" t="s">
        <v>70</v>
      </c>
      <c r="X377" t="s">
        <v>193</v>
      </c>
      <c r="Y377">
        <v>1</v>
      </c>
      <c r="Z377">
        <v>0</v>
      </c>
      <c r="AA377">
        <v>0</v>
      </c>
    </row>
    <row r="378" spans="1:27" x14ac:dyDescent="0.3">
      <c r="A378" t="s">
        <v>1685</v>
      </c>
      <c r="B378" s="15">
        <v>45842</v>
      </c>
      <c r="C378" t="s">
        <v>503</v>
      </c>
      <c r="D378" t="s">
        <v>55</v>
      </c>
      <c r="E378" t="s">
        <v>1704</v>
      </c>
      <c r="F378" t="s">
        <v>1705</v>
      </c>
      <c r="G378" t="s">
        <v>1706</v>
      </c>
      <c r="H378" t="s">
        <v>1707</v>
      </c>
      <c r="I378" t="s">
        <v>167</v>
      </c>
      <c r="J378" t="s">
        <v>786</v>
      </c>
      <c r="K378" t="s">
        <v>787</v>
      </c>
      <c r="L378" t="s">
        <v>186</v>
      </c>
      <c r="M378" t="s">
        <v>239</v>
      </c>
      <c r="N378" t="s">
        <v>240</v>
      </c>
      <c r="O378" t="s">
        <v>1688</v>
      </c>
      <c r="P378" t="s">
        <v>167</v>
      </c>
      <c r="Q378" t="s">
        <v>1708</v>
      </c>
      <c r="R378" t="s">
        <v>1709</v>
      </c>
      <c r="S378" t="s">
        <v>1710</v>
      </c>
      <c r="T378" s="15">
        <v>46652</v>
      </c>
      <c r="U378">
        <v>241</v>
      </c>
      <c r="V378">
        <v>159</v>
      </c>
      <c r="W378" t="s">
        <v>70</v>
      </c>
      <c r="X378" t="s">
        <v>107</v>
      </c>
      <c r="Y378">
        <v>1</v>
      </c>
      <c r="Z378">
        <v>0</v>
      </c>
      <c r="AA378">
        <v>0</v>
      </c>
    </row>
    <row r="379" spans="1:27" x14ac:dyDescent="0.3">
      <c r="A379" t="s">
        <v>1711</v>
      </c>
      <c r="B379" s="15">
        <v>45752</v>
      </c>
      <c r="C379" t="s">
        <v>93</v>
      </c>
      <c r="D379" t="s">
        <v>55</v>
      </c>
      <c r="E379" t="s">
        <v>1712</v>
      </c>
      <c r="F379" t="s">
        <v>1713</v>
      </c>
      <c r="G379" t="s">
        <v>1714</v>
      </c>
      <c r="H379" t="s">
        <v>1715</v>
      </c>
      <c r="I379" t="s">
        <v>1716</v>
      </c>
      <c r="J379" t="s">
        <v>1672</v>
      </c>
      <c r="K379" t="s">
        <v>1673</v>
      </c>
      <c r="L379" t="s">
        <v>63</v>
      </c>
      <c r="M379" t="s">
        <v>725</v>
      </c>
      <c r="N379" t="s">
        <v>726</v>
      </c>
      <c r="O379" t="s">
        <v>1717</v>
      </c>
      <c r="P379" t="s">
        <v>67</v>
      </c>
      <c r="Q379" t="s">
        <v>1718</v>
      </c>
      <c r="R379" t="s">
        <v>1719</v>
      </c>
      <c r="S379" t="s">
        <v>1720</v>
      </c>
      <c r="T379" s="15">
        <v>46871</v>
      </c>
      <c r="U379">
        <v>240</v>
      </c>
      <c r="V379">
        <v>3.3</v>
      </c>
      <c r="W379" t="s">
        <v>70</v>
      </c>
      <c r="X379" t="s">
        <v>123</v>
      </c>
      <c r="Y379">
        <v>1</v>
      </c>
      <c r="Z379">
        <v>0</v>
      </c>
      <c r="AA379">
        <v>0</v>
      </c>
    </row>
    <row r="380" spans="1:27" x14ac:dyDescent="0.3">
      <c r="A380" t="s">
        <v>1334</v>
      </c>
      <c r="B380" s="15">
        <v>45752</v>
      </c>
      <c r="C380" t="s">
        <v>93</v>
      </c>
      <c r="D380" t="s">
        <v>55</v>
      </c>
      <c r="E380" t="s">
        <v>626</v>
      </c>
      <c r="F380" t="s">
        <v>1721</v>
      </c>
      <c r="G380" t="s">
        <v>628</v>
      </c>
      <c r="H380" t="s">
        <v>629</v>
      </c>
      <c r="I380" t="s">
        <v>167</v>
      </c>
      <c r="J380" t="s">
        <v>630</v>
      </c>
      <c r="K380" t="s">
        <v>631</v>
      </c>
      <c r="L380" t="s">
        <v>63</v>
      </c>
      <c r="M380" t="s">
        <v>725</v>
      </c>
      <c r="N380" t="s">
        <v>726</v>
      </c>
      <c r="O380" t="s">
        <v>1339</v>
      </c>
      <c r="P380" t="s">
        <v>167</v>
      </c>
      <c r="Q380" t="s">
        <v>635</v>
      </c>
      <c r="R380" t="s">
        <v>636</v>
      </c>
      <c r="S380" t="s">
        <v>1722</v>
      </c>
      <c r="T380" s="15">
        <v>46353</v>
      </c>
      <c r="U380">
        <v>240</v>
      </c>
      <c r="V380">
        <v>8.06</v>
      </c>
      <c r="W380" t="s">
        <v>70</v>
      </c>
      <c r="X380" t="s">
        <v>123</v>
      </c>
      <c r="Y380">
        <v>0</v>
      </c>
      <c r="Z380">
        <v>0</v>
      </c>
      <c r="AA380">
        <v>0</v>
      </c>
    </row>
    <row r="381" spans="1:27" x14ac:dyDescent="0.3">
      <c r="A381" t="s">
        <v>1723</v>
      </c>
      <c r="B381" s="15">
        <v>45931</v>
      </c>
      <c r="C381" t="s">
        <v>95</v>
      </c>
      <c r="D381" t="s">
        <v>55</v>
      </c>
      <c r="E381" t="s">
        <v>1724</v>
      </c>
      <c r="F381" t="s">
        <v>1725</v>
      </c>
      <c r="G381" t="s">
        <v>1726</v>
      </c>
      <c r="H381" t="s">
        <v>1727</v>
      </c>
      <c r="I381" t="s">
        <v>1728</v>
      </c>
      <c r="J381" t="s">
        <v>814</v>
      </c>
      <c r="K381" t="s">
        <v>815</v>
      </c>
      <c r="L381" t="s">
        <v>498</v>
      </c>
      <c r="M381" t="s">
        <v>499</v>
      </c>
      <c r="N381" t="s">
        <v>500</v>
      </c>
      <c r="O381" t="s">
        <v>1729</v>
      </c>
      <c r="P381" t="s">
        <v>67</v>
      </c>
      <c r="Q381" t="s">
        <v>1730</v>
      </c>
      <c r="R381" t="s">
        <v>1731</v>
      </c>
      <c r="S381" t="s">
        <v>1732</v>
      </c>
      <c r="T381" s="15">
        <v>46262</v>
      </c>
      <c r="U381">
        <v>240</v>
      </c>
      <c r="V381">
        <v>24.5</v>
      </c>
      <c r="W381" t="s">
        <v>70</v>
      </c>
      <c r="X381" t="s">
        <v>85</v>
      </c>
      <c r="Y381">
        <v>1</v>
      </c>
      <c r="Z381">
        <v>1</v>
      </c>
      <c r="AA381">
        <v>0</v>
      </c>
    </row>
    <row r="382" spans="1:27" x14ac:dyDescent="0.3">
      <c r="A382" t="s">
        <v>142</v>
      </c>
      <c r="B382" s="15">
        <v>45931</v>
      </c>
      <c r="C382" t="s">
        <v>93</v>
      </c>
      <c r="D382" t="s">
        <v>55</v>
      </c>
      <c r="E382" t="s">
        <v>1733</v>
      </c>
      <c r="F382" t="s">
        <v>1734</v>
      </c>
      <c r="G382" t="s">
        <v>1735</v>
      </c>
      <c r="H382" t="s">
        <v>1736</v>
      </c>
      <c r="I382" t="s">
        <v>1737</v>
      </c>
      <c r="J382" t="s">
        <v>459</v>
      </c>
      <c r="K382" t="s">
        <v>460</v>
      </c>
      <c r="L382" t="s">
        <v>87</v>
      </c>
      <c r="M382" t="s">
        <v>88</v>
      </c>
      <c r="N382" t="s">
        <v>89</v>
      </c>
      <c r="O382" t="s">
        <v>150</v>
      </c>
      <c r="P382" t="s">
        <v>82</v>
      </c>
      <c r="Q382" t="s">
        <v>1738</v>
      </c>
      <c r="R382" t="s">
        <v>1739</v>
      </c>
      <c r="S382" t="s">
        <v>1740</v>
      </c>
      <c r="T382" s="15">
        <v>47477</v>
      </c>
      <c r="U382">
        <v>240</v>
      </c>
      <c r="V382">
        <v>56.17</v>
      </c>
      <c r="W382" t="s">
        <v>70</v>
      </c>
      <c r="X382" t="s">
        <v>85</v>
      </c>
      <c r="Y382">
        <v>1</v>
      </c>
      <c r="Z382">
        <v>0</v>
      </c>
      <c r="AA382">
        <v>0</v>
      </c>
    </row>
    <row r="383" spans="1:27" x14ac:dyDescent="0.3">
      <c r="A383" t="s">
        <v>142</v>
      </c>
      <c r="B383" s="15">
        <v>45931</v>
      </c>
      <c r="C383" t="s">
        <v>93</v>
      </c>
      <c r="D383" t="s">
        <v>55</v>
      </c>
      <c r="E383" t="s">
        <v>1741</v>
      </c>
      <c r="F383" t="s">
        <v>1742</v>
      </c>
      <c r="G383" t="s">
        <v>1743</v>
      </c>
      <c r="H383" t="s">
        <v>1744</v>
      </c>
      <c r="I383" t="s">
        <v>1601</v>
      </c>
      <c r="J383" t="s">
        <v>1602</v>
      </c>
      <c r="K383" t="s">
        <v>1603</v>
      </c>
      <c r="L383" t="s">
        <v>87</v>
      </c>
      <c r="M383" t="s">
        <v>88</v>
      </c>
      <c r="N383" t="s">
        <v>89</v>
      </c>
      <c r="O383" t="s">
        <v>150</v>
      </c>
      <c r="P383" t="s">
        <v>82</v>
      </c>
      <c r="Q383" t="s">
        <v>1745</v>
      </c>
      <c r="R383" t="s">
        <v>1746</v>
      </c>
      <c r="S383" t="s">
        <v>1747</v>
      </c>
      <c r="T383" s="15">
        <v>46474</v>
      </c>
      <c r="U383">
        <v>240</v>
      </c>
      <c r="V383">
        <v>2.4900000000000002</v>
      </c>
      <c r="W383" t="s">
        <v>70</v>
      </c>
      <c r="X383" t="s">
        <v>85</v>
      </c>
      <c r="Y383">
        <v>1</v>
      </c>
      <c r="Z383">
        <v>0</v>
      </c>
      <c r="AA383">
        <v>0</v>
      </c>
    </row>
    <row r="384" spans="1:27" x14ac:dyDescent="0.3">
      <c r="A384" t="s">
        <v>72</v>
      </c>
      <c r="B384" s="15">
        <v>45931</v>
      </c>
      <c r="C384" t="s">
        <v>73</v>
      </c>
      <c r="D384" t="s">
        <v>55</v>
      </c>
      <c r="E384" t="s">
        <v>1748</v>
      </c>
      <c r="F384" t="s">
        <v>1749</v>
      </c>
      <c r="G384" t="s">
        <v>1750</v>
      </c>
      <c r="H384" t="s">
        <v>1751</v>
      </c>
      <c r="I384" t="s">
        <v>1752</v>
      </c>
      <c r="J384" t="s">
        <v>484</v>
      </c>
      <c r="K384" t="s">
        <v>485</v>
      </c>
      <c r="L384" t="s">
        <v>63</v>
      </c>
      <c r="M384" t="s">
        <v>64</v>
      </c>
      <c r="N384" t="s">
        <v>65</v>
      </c>
      <c r="O384" t="s">
        <v>81</v>
      </c>
      <c r="P384" t="s">
        <v>82</v>
      </c>
      <c r="Q384" t="s">
        <v>1507</v>
      </c>
      <c r="R384" t="s">
        <v>1508</v>
      </c>
      <c r="S384" t="s">
        <v>1753</v>
      </c>
      <c r="T384" s="15">
        <v>46293</v>
      </c>
      <c r="U384">
        <v>240</v>
      </c>
      <c r="V384">
        <v>149.9</v>
      </c>
      <c r="W384" t="s">
        <v>70</v>
      </c>
      <c r="X384" t="s">
        <v>85</v>
      </c>
      <c r="Y384">
        <v>1</v>
      </c>
      <c r="Z384">
        <v>0</v>
      </c>
      <c r="AA384">
        <v>0</v>
      </c>
    </row>
    <row r="385" spans="1:27" x14ac:dyDescent="0.3">
      <c r="A385" t="s">
        <v>1754</v>
      </c>
      <c r="B385" s="15">
        <v>45918</v>
      </c>
      <c r="C385" t="s">
        <v>95</v>
      </c>
      <c r="D385" t="s">
        <v>55</v>
      </c>
      <c r="E385" t="s">
        <v>1755</v>
      </c>
      <c r="F385" t="s">
        <v>1756</v>
      </c>
      <c r="G385" t="s">
        <v>1757</v>
      </c>
      <c r="H385" t="s">
        <v>1758</v>
      </c>
      <c r="I385" t="s">
        <v>1021</v>
      </c>
      <c r="J385" t="s">
        <v>1022</v>
      </c>
      <c r="K385" t="s">
        <v>1023</v>
      </c>
      <c r="L385" t="s">
        <v>63</v>
      </c>
      <c r="M385" t="s">
        <v>116</v>
      </c>
      <c r="N385" t="s">
        <v>117</v>
      </c>
      <c r="O385" t="s">
        <v>1759</v>
      </c>
      <c r="P385" t="s">
        <v>67</v>
      </c>
      <c r="Q385" t="s">
        <v>1090</v>
      </c>
      <c r="R385" t="s">
        <v>1091</v>
      </c>
      <c r="S385" t="s">
        <v>1760</v>
      </c>
      <c r="T385" s="15">
        <v>47236</v>
      </c>
      <c r="U385">
        <v>240</v>
      </c>
      <c r="V385">
        <v>50</v>
      </c>
      <c r="W385" t="s">
        <v>70</v>
      </c>
      <c r="X385" t="s">
        <v>71</v>
      </c>
      <c r="Y385">
        <v>1</v>
      </c>
      <c r="Z385">
        <v>1</v>
      </c>
      <c r="AA385">
        <v>0</v>
      </c>
    </row>
    <row r="386" spans="1:27" x14ac:dyDescent="0.3">
      <c r="A386" t="s">
        <v>1253</v>
      </c>
      <c r="B386" s="15">
        <v>45842</v>
      </c>
      <c r="C386" t="s">
        <v>497</v>
      </c>
      <c r="D386" t="s">
        <v>55</v>
      </c>
      <c r="E386" t="s">
        <v>1196</v>
      </c>
      <c r="F386" t="s">
        <v>1197</v>
      </c>
      <c r="G386" t="s">
        <v>1198</v>
      </c>
      <c r="H386" t="s">
        <v>1199</v>
      </c>
      <c r="I386" t="s">
        <v>1200</v>
      </c>
      <c r="J386" t="s">
        <v>1201</v>
      </c>
      <c r="K386" t="s">
        <v>1202</v>
      </c>
      <c r="L386" t="s">
        <v>87</v>
      </c>
      <c r="M386" t="s">
        <v>1254</v>
      </c>
      <c r="N386" t="s">
        <v>1255</v>
      </c>
      <c r="O386" t="s">
        <v>1256</v>
      </c>
      <c r="P386" t="s">
        <v>82</v>
      </c>
      <c r="Q386" t="s">
        <v>1203</v>
      </c>
      <c r="R386" t="s">
        <v>1204</v>
      </c>
      <c r="S386" t="s">
        <v>1205</v>
      </c>
      <c r="T386" s="15">
        <v>46415</v>
      </c>
      <c r="U386">
        <v>237</v>
      </c>
      <c r="V386">
        <v>29.83</v>
      </c>
      <c r="W386" t="s">
        <v>70</v>
      </c>
      <c r="X386" t="s">
        <v>107</v>
      </c>
      <c r="Y386">
        <v>1</v>
      </c>
      <c r="Z386">
        <v>0</v>
      </c>
      <c r="AA386">
        <v>0</v>
      </c>
    </row>
    <row r="387" spans="1:27" x14ac:dyDescent="0.3">
      <c r="A387" t="s">
        <v>767</v>
      </c>
      <c r="B387" s="15">
        <v>45842</v>
      </c>
      <c r="C387" t="s">
        <v>73</v>
      </c>
      <c r="D387" t="s">
        <v>55</v>
      </c>
      <c r="E387" t="s">
        <v>755</v>
      </c>
      <c r="F387" t="s">
        <v>756</v>
      </c>
      <c r="G387" t="s">
        <v>757</v>
      </c>
      <c r="H387" t="s">
        <v>758</v>
      </c>
      <c r="I387" t="s">
        <v>759</v>
      </c>
      <c r="J387" t="s">
        <v>760</v>
      </c>
      <c r="K387" t="s">
        <v>761</v>
      </c>
      <c r="L387" t="s">
        <v>87</v>
      </c>
      <c r="M387" t="s">
        <v>768</v>
      </c>
      <c r="N387" t="s">
        <v>769</v>
      </c>
      <c r="O387" t="s">
        <v>770</v>
      </c>
      <c r="P387" t="s">
        <v>82</v>
      </c>
      <c r="Q387" t="s">
        <v>762</v>
      </c>
      <c r="R387" t="s">
        <v>763</v>
      </c>
      <c r="S387" t="s">
        <v>764</v>
      </c>
      <c r="T387" s="15">
        <v>46474</v>
      </c>
      <c r="U387">
        <v>234</v>
      </c>
      <c r="V387">
        <v>10.37</v>
      </c>
      <c r="W387" t="s">
        <v>70</v>
      </c>
      <c r="X387" t="s">
        <v>107</v>
      </c>
      <c r="Y387">
        <v>1</v>
      </c>
      <c r="Z387">
        <v>0</v>
      </c>
      <c r="AA387">
        <v>0</v>
      </c>
    </row>
    <row r="388" spans="1:27" x14ac:dyDescent="0.3">
      <c r="A388" t="s">
        <v>142</v>
      </c>
      <c r="B388" s="15">
        <v>45931</v>
      </c>
      <c r="C388" t="s">
        <v>93</v>
      </c>
      <c r="D388" t="s">
        <v>55</v>
      </c>
      <c r="E388" t="s">
        <v>985</v>
      </c>
      <c r="F388" t="s">
        <v>1263</v>
      </c>
      <c r="G388" t="s">
        <v>987</v>
      </c>
      <c r="H388" t="s">
        <v>988</v>
      </c>
      <c r="I388" t="s">
        <v>989</v>
      </c>
      <c r="J388" t="s">
        <v>695</v>
      </c>
      <c r="K388" t="s">
        <v>696</v>
      </c>
      <c r="L388" t="s">
        <v>87</v>
      </c>
      <c r="M388" t="s">
        <v>88</v>
      </c>
      <c r="N388" t="s">
        <v>89</v>
      </c>
      <c r="O388" t="s">
        <v>150</v>
      </c>
      <c r="P388" t="s">
        <v>82</v>
      </c>
      <c r="Q388" t="s">
        <v>990</v>
      </c>
      <c r="R388" t="s">
        <v>991</v>
      </c>
      <c r="S388" t="s">
        <v>1264</v>
      </c>
      <c r="T388" s="15">
        <v>46721</v>
      </c>
      <c r="U388">
        <v>234</v>
      </c>
      <c r="V388">
        <v>12</v>
      </c>
      <c r="W388" t="s">
        <v>70</v>
      </c>
      <c r="X388" t="s">
        <v>85</v>
      </c>
      <c r="Y388">
        <v>0</v>
      </c>
      <c r="Z388">
        <v>0</v>
      </c>
      <c r="AA388">
        <v>0</v>
      </c>
    </row>
    <row r="389" spans="1:27" x14ac:dyDescent="0.3">
      <c r="A389" t="s">
        <v>355</v>
      </c>
      <c r="B389" s="15">
        <v>45842</v>
      </c>
      <c r="C389" t="s">
        <v>93</v>
      </c>
      <c r="D389" t="s">
        <v>55</v>
      </c>
      <c r="E389" t="s">
        <v>817</v>
      </c>
      <c r="F389" t="s">
        <v>818</v>
      </c>
      <c r="G389" t="s">
        <v>819</v>
      </c>
      <c r="H389" t="s">
        <v>820</v>
      </c>
      <c r="I389" t="s">
        <v>128</v>
      </c>
      <c r="J389" t="s">
        <v>129</v>
      </c>
      <c r="K389" t="s">
        <v>130</v>
      </c>
      <c r="L389" t="s">
        <v>100</v>
      </c>
      <c r="M389" t="s">
        <v>101</v>
      </c>
      <c r="N389" t="s">
        <v>102</v>
      </c>
      <c r="O389" t="s">
        <v>360</v>
      </c>
      <c r="P389" t="s">
        <v>82</v>
      </c>
      <c r="Q389" t="s">
        <v>317</v>
      </c>
      <c r="R389" t="s">
        <v>318</v>
      </c>
      <c r="S389" t="s">
        <v>821</v>
      </c>
      <c r="T389" s="15">
        <v>46354</v>
      </c>
      <c r="U389">
        <v>233</v>
      </c>
      <c r="V389">
        <v>10.06</v>
      </c>
      <c r="W389" t="s">
        <v>70</v>
      </c>
      <c r="X389" t="s">
        <v>107</v>
      </c>
      <c r="Y389">
        <v>0</v>
      </c>
      <c r="Z389">
        <v>0</v>
      </c>
      <c r="AA389">
        <v>0</v>
      </c>
    </row>
    <row r="390" spans="1:27" x14ac:dyDescent="0.3">
      <c r="A390" t="s">
        <v>596</v>
      </c>
      <c r="B390" s="15">
        <v>45842</v>
      </c>
      <c r="C390" t="s">
        <v>497</v>
      </c>
      <c r="D390" t="s">
        <v>55</v>
      </c>
      <c r="E390" t="s">
        <v>1761</v>
      </c>
      <c r="F390" t="s">
        <v>1762</v>
      </c>
      <c r="G390" t="s">
        <v>1763</v>
      </c>
      <c r="H390" t="s">
        <v>1764</v>
      </c>
      <c r="I390" t="s">
        <v>1234</v>
      </c>
      <c r="J390" t="s">
        <v>1235</v>
      </c>
      <c r="K390" t="s">
        <v>1236</v>
      </c>
      <c r="L390" t="s">
        <v>87</v>
      </c>
      <c r="M390" t="s">
        <v>601</v>
      </c>
      <c r="N390" t="s">
        <v>602</v>
      </c>
      <c r="O390" t="s">
        <v>603</v>
      </c>
      <c r="P390" t="s">
        <v>82</v>
      </c>
      <c r="Q390" t="s">
        <v>1765</v>
      </c>
      <c r="R390" t="s">
        <v>1766</v>
      </c>
      <c r="S390" t="s">
        <v>1767</v>
      </c>
      <c r="T390" s="15">
        <v>46474</v>
      </c>
      <c r="U390">
        <v>232</v>
      </c>
      <c r="V390">
        <v>5.85</v>
      </c>
      <c r="W390" t="s">
        <v>70</v>
      </c>
      <c r="X390" t="s">
        <v>107</v>
      </c>
      <c r="Y390">
        <v>1</v>
      </c>
      <c r="Z390">
        <v>0</v>
      </c>
      <c r="AA390">
        <v>0</v>
      </c>
    </row>
    <row r="391" spans="1:27" x14ac:dyDescent="0.3">
      <c r="A391" t="s">
        <v>72</v>
      </c>
      <c r="B391" s="15">
        <v>45931</v>
      </c>
      <c r="C391" t="s">
        <v>73</v>
      </c>
      <c r="D391" t="s">
        <v>55</v>
      </c>
      <c r="E391" t="s">
        <v>1768</v>
      </c>
      <c r="F391" t="s">
        <v>1769</v>
      </c>
      <c r="G391" t="s">
        <v>1770</v>
      </c>
      <c r="H391" t="s">
        <v>1771</v>
      </c>
      <c r="I391" t="s">
        <v>1772</v>
      </c>
      <c r="J391" t="s">
        <v>1773</v>
      </c>
      <c r="K391" t="s">
        <v>1774</v>
      </c>
      <c r="L391" t="s">
        <v>63</v>
      </c>
      <c r="M391" t="s">
        <v>64</v>
      </c>
      <c r="N391" t="s">
        <v>65</v>
      </c>
      <c r="O391" t="s">
        <v>81</v>
      </c>
      <c r="P391" t="s">
        <v>82</v>
      </c>
      <c r="Q391" t="s">
        <v>1775</v>
      </c>
      <c r="R391" t="s">
        <v>1776</v>
      </c>
      <c r="S391" t="s">
        <v>1777</v>
      </c>
      <c r="T391" s="15">
        <v>46871</v>
      </c>
      <c r="U391">
        <v>232</v>
      </c>
      <c r="V391">
        <v>253.57</v>
      </c>
      <c r="W391" t="s">
        <v>70</v>
      </c>
      <c r="X391" t="s">
        <v>85</v>
      </c>
      <c r="Y391">
        <v>1</v>
      </c>
      <c r="Z391">
        <v>0</v>
      </c>
      <c r="AA391">
        <v>0</v>
      </c>
    </row>
    <row r="392" spans="1:27" x14ac:dyDescent="0.3">
      <c r="A392" t="s">
        <v>1376</v>
      </c>
      <c r="B392" s="15">
        <v>45815</v>
      </c>
      <c r="C392" t="s">
        <v>93</v>
      </c>
      <c r="D392" t="s">
        <v>55</v>
      </c>
      <c r="E392" t="s">
        <v>950</v>
      </c>
      <c r="F392" t="s">
        <v>951</v>
      </c>
      <c r="G392" t="s">
        <v>952</v>
      </c>
      <c r="H392" t="s">
        <v>953</v>
      </c>
      <c r="I392" t="s">
        <v>954</v>
      </c>
      <c r="J392" t="s">
        <v>955</v>
      </c>
      <c r="K392" t="s">
        <v>956</v>
      </c>
      <c r="L392" t="s">
        <v>87</v>
      </c>
      <c r="M392" t="s">
        <v>946</v>
      </c>
      <c r="N392" t="s">
        <v>947</v>
      </c>
      <c r="O392" t="s">
        <v>1382</v>
      </c>
      <c r="P392" t="s">
        <v>67</v>
      </c>
      <c r="Q392" t="s">
        <v>546</v>
      </c>
      <c r="R392" t="s">
        <v>547</v>
      </c>
      <c r="S392" t="s">
        <v>958</v>
      </c>
      <c r="T392" s="15">
        <v>47146</v>
      </c>
      <c r="U392">
        <v>231</v>
      </c>
      <c r="V392">
        <v>4.4000000000000004</v>
      </c>
      <c r="W392" t="s">
        <v>70</v>
      </c>
      <c r="X392" t="s">
        <v>177</v>
      </c>
      <c r="Y392">
        <v>0</v>
      </c>
      <c r="Z392">
        <v>0</v>
      </c>
      <c r="AA392">
        <v>0</v>
      </c>
    </row>
    <row r="393" spans="1:27" x14ac:dyDescent="0.3">
      <c r="A393" t="s">
        <v>1778</v>
      </c>
      <c r="B393" s="15">
        <v>45661</v>
      </c>
      <c r="C393" t="s">
        <v>651</v>
      </c>
      <c r="D393" t="s">
        <v>55</v>
      </c>
      <c r="E393" t="s">
        <v>1779</v>
      </c>
      <c r="F393" t="s">
        <v>1780</v>
      </c>
      <c r="G393" t="s">
        <v>1781</v>
      </c>
      <c r="H393" t="s">
        <v>1782</v>
      </c>
      <c r="I393" t="s">
        <v>167</v>
      </c>
      <c r="J393" t="s">
        <v>326</v>
      </c>
      <c r="K393" t="s">
        <v>327</v>
      </c>
      <c r="L393" t="s">
        <v>186</v>
      </c>
      <c r="M393" t="s">
        <v>1783</v>
      </c>
      <c r="N393" t="s">
        <v>1784</v>
      </c>
      <c r="O393" t="s">
        <v>1785</v>
      </c>
      <c r="P393" t="s">
        <v>167</v>
      </c>
      <c r="Q393" t="s">
        <v>614</v>
      </c>
      <c r="R393" t="s">
        <v>615</v>
      </c>
      <c r="S393" t="s">
        <v>1786</v>
      </c>
      <c r="T393" s="15">
        <v>46081</v>
      </c>
      <c r="U393">
        <v>226</v>
      </c>
      <c r="V393">
        <v>12.75</v>
      </c>
      <c r="W393" t="s">
        <v>70</v>
      </c>
      <c r="X393" t="s">
        <v>193</v>
      </c>
      <c r="Y393">
        <v>1</v>
      </c>
      <c r="Z393">
        <v>0</v>
      </c>
      <c r="AA393">
        <v>0</v>
      </c>
    </row>
    <row r="394" spans="1:27" x14ac:dyDescent="0.3">
      <c r="A394" t="s">
        <v>624</v>
      </c>
      <c r="B394" s="15">
        <v>45752</v>
      </c>
      <c r="C394" t="s">
        <v>625</v>
      </c>
      <c r="D394" t="s">
        <v>55</v>
      </c>
      <c r="E394" t="s">
        <v>626</v>
      </c>
      <c r="F394" t="s">
        <v>1787</v>
      </c>
      <c r="G394" t="s">
        <v>628</v>
      </c>
      <c r="H394" t="s">
        <v>1788</v>
      </c>
      <c r="I394" t="s">
        <v>167</v>
      </c>
      <c r="J394" t="s">
        <v>630</v>
      </c>
      <c r="K394" t="s">
        <v>631</v>
      </c>
      <c r="L394" t="s">
        <v>87</v>
      </c>
      <c r="M394" t="s">
        <v>632</v>
      </c>
      <c r="N394" t="s">
        <v>633</v>
      </c>
      <c r="O394" t="s">
        <v>634</v>
      </c>
      <c r="P394" t="s">
        <v>167</v>
      </c>
      <c r="Q394" t="s">
        <v>1789</v>
      </c>
      <c r="R394" t="s">
        <v>1790</v>
      </c>
      <c r="S394" t="s">
        <v>1791</v>
      </c>
      <c r="T394" s="15">
        <v>46323</v>
      </c>
      <c r="U394">
        <v>225</v>
      </c>
      <c r="V394">
        <v>14</v>
      </c>
      <c r="W394" t="s">
        <v>70</v>
      </c>
      <c r="X394" t="s">
        <v>123</v>
      </c>
      <c r="Y394">
        <v>1</v>
      </c>
      <c r="Z394">
        <v>0</v>
      </c>
      <c r="AA394">
        <v>0</v>
      </c>
    </row>
    <row r="395" spans="1:27" x14ac:dyDescent="0.3">
      <c r="A395" t="s">
        <v>638</v>
      </c>
      <c r="B395" s="15">
        <v>45752</v>
      </c>
      <c r="C395" t="s">
        <v>625</v>
      </c>
      <c r="D395" t="s">
        <v>55</v>
      </c>
      <c r="E395" t="s">
        <v>1792</v>
      </c>
      <c r="F395" t="s">
        <v>1793</v>
      </c>
      <c r="G395" t="s">
        <v>1794</v>
      </c>
      <c r="H395" t="s">
        <v>1795</v>
      </c>
      <c r="I395" t="s">
        <v>1796</v>
      </c>
      <c r="J395" t="s">
        <v>1105</v>
      </c>
      <c r="K395" t="s">
        <v>1106</v>
      </c>
      <c r="L395" t="s">
        <v>87</v>
      </c>
      <c r="M395" t="s">
        <v>632</v>
      </c>
      <c r="N395" t="s">
        <v>633</v>
      </c>
      <c r="O395" t="s">
        <v>646</v>
      </c>
      <c r="P395" t="s">
        <v>82</v>
      </c>
      <c r="Q395" t="s">
        <v>1107</v>
      </c>
      <c r="R395" t="s">
        <v>1108</v>
      </c>
      <c r="S395" t="s">
        <v>1797</v>
      </c>
      <c r="T395" s="15">
        <v>46446</v>
      </c>
      <c r="U395">
        <v>225</v>
      </c>
      <c r="V395">
        <v>5.38</v>
      </c>
      <c r="W395" t="s">
        <v>70</v>
      </c>
      <c r="X395" t="s">
        <v>123</v>
      </c>
      <c r="Y395">
        <v>1</v>
      </c>
      <c r="Z395">
        <v>0</v>
      </c>
      <c r="AA395">
        <v>0</v>
      </c>
    </row>
    <row r="396" spans="1:27" x14ac:dyDescent="0.3">
      <c r="A396" t="s">
        <v>1798</v>
      </c>
      <c r="B396" s="15">
        <v>45842</v>
      </c>
      <c r="C396" t="s">
        <v>497</v>
      </c>
      <c r="D396" t="s">
        <v>55</v>
      </c>
      <c r="E396" t="s">
        <v>1799</v>
      </c>
      <c r="F396" t="s">
        <v>1800</v>
      </c>
      <c r="G396" t="s">
        <v>1801</v>
      </c>
      <c r="H396" t="s">
        <v>1802</v>
      </c>
      <c r="I396" t="s">
        <v>1796</v>
      </c>
      <c r="J396" t="s">
        <v>1105</v>
      </c>
      <c r="K396" t="s">
        <v>1106</v>
      </c>
      <c r="L396" t="s">
        <v>87</v>
      </c>
      <c r="M396" t="s">
        <v>1254</v>
      </c>
      <c r="N396" t="s">
        <v>1255</v>
      </c>
      <c r="O396" t="s">
        <v>1803</v>
      </c>
      <c r="P396" t="s">
        <v>67</v>
      </c>
      <c r="Q396" t="s">
        <v>1804</v>
      </c>
      <c r="R396" t="s">
        <v>1805</v>
      </c>
      <c r="S396" t="s">
        <v>1806</v>
      </c>
      <c r="T396" s="15">
        <v>46170</v>
      </c>
      <c r="U396">
        <v>225</v>
      </c>
      <c r="V396">
        <v>9.9</v>
      </c>
      <c r="W396" t="s">
        <v>70</v>
      </c>
      <c r="X396" t="s">
        <v>107</v>
      </c>
      <c r="Y396">
        <v>1</v>
      </c>
      <c r="Z396">
        <v>0</v>
      </c>
      <c r="AA396">
        <v>0</v>
      </c>
    </row>
    <row r="397" spans="1:27" x14ac:dyDescent="0.3">
      <c r="A397" t="s">
        <v>1206</v>
      </c>
      <c r="B397" s="15">
        <v>45842</v>
      </c>
      <c r="C397" t="s">
        <v>73</v>
      </c>
      <c r="D397" t="s">
        <v>55</v>
      </c>
      <c r="E397" t="s">
        <v>454</v>
      </c>
      <c r="F397" t="s">
        <v>455</v>
      </c>
      <c r="G397" t="s">
        <v>456</v>
      </c>
      <c r="H397" t="s">
        <v>457</v>
      </c>
      <c r="I397" t="s">
        <v>458</v>
      </c>
      <c r="J397" t="s">
        <v>459</v>
      </c>
      <c r="K397" t="s">
        <v>460</v>
      </c>
      <c r="L397" t="s">
        <v>87</v>
      </c>
      <c r="M397" t="s">
        <v>768</v>
      </c>
      <c r="N397" t="s">
        <v>769</v>
      </c>
      <c r="O397" t="s">
        <v>1212</v>
      </c>
      <c r="P397" t="s">
        <v>67</v>
      </c>
      <c r="Q397" t="s">
        <v>464</v>
      </c>
      <c r="R397" t="s">
        <v>465</v>
      </c>
      <c r="S397" t="s">
        <v>466</v>
      </c>
      <c r="T397" s="15">
        <v>47288</v>
      </c>
      <c r="U397">
        <v>225</v>
      </c>
      <c r="V397">
        <v>10.77</v>
      </c>
      <c r="W397" t="s">
        <v>70</v>
      </c>
      <c r="X397" t="s">
        <v>107</v>
      </c>
      <c r="Y397">
        <v>1</v>
      </c>
      <c r="Z397">
        <v>0</v>
      </c>
      <c r="AA397">
        <v>0</v>
      </c>
    </row>
    <row r="398" spans="1:27" x14ac:dyDescent="0.3">
      <c r="A398" t="s">
        <v>767</v>
      </c>
      <c r="B398" s="15">
        <v>45842</v>
      </c>
      <c r="C398" t="s">
        <v>73</v>
      </c>
      <c r="D398" t="s">
        <v>55</v>
      </c>
      <c r="E398" t="s">
        <v>1807</v>
      </c>
      <c r="F398" t="s">
        <v>1808</v>
      </c>
      <c r="G398" t="s">
        <v>1809</v>
      </c>
      <c r="H398" t="s">
        <v>1810</v>
      </c>
      <c r="I398" t="s">
        <v>254</v>
      </c>
      <c r="J398" t="s">
        <v>139</v>
      </c>
      <c r="K398" t="s">
        <v>140</v>
      </c>
      <c r="L398" t="s">
        <v>87</v>
      </c>
      <c r="M398" t="s">
        <v>768</v>
      </c>
      <c r="N398" t="s">
        <v>769</v>
      </c>
      <c r="O398" t="s">
        <v>770</v>
      </c>
      <c r="P398" t="s">
        <v>82</v>
      </c>
      <c r="Q398" t="s">
        <v>1811</v>
      </c>
      <c r="R398" t="s">
        <v>1812</v>
      </c>
      <c r="S398" t="s">
        <v>1813</v>
      </c>
      <c r="T398" s="15">
        <v>46109</v>
      </c>
      <c r="U398">
        <v>225</v>
      </c>
      <c r="V398">
        <v>10.95</v>
      </c>
      <c r="W398" t="s">
        <v>70</v>
      </c>
      <c r="X398" t="s">
        <v>107</v>
      </c>
      <c r="Y398">
        <v>1</v>
      </c>
      <c r="Z398">
        <v>0</v>
      </c>
      <c r="AA398">
        <v>0</v>
      </c>
    </row>
    <row r="399" spans="1:27" x14ac:dyDescent="0.3">
      <c r="A399" t="s">
        <v>1253</v>
      </c>
      <c r="B399" s="15">
        <v>45842</v>
      </c>
      <c r="C399" t="s">
        <v>497</v>
      </c>
      <c r="D399" t="s">
        <v>55</v>
      </c>
      <c r="E399" t="s">
        <v>935</v>
      </c>
      <c r="F399" t="s">
        <v>936</v>
      </c>
      <c r="G399" t="s">
        <v>937</v>
      </c>
      <c r="H399" t="s">
        <v>938</v>
      </c>
      <c r="I399" t="s">
        <v>939</v>
      </c>
      <c r="J399" t="s">
        <v>940</v>
      </c>
      <c r="K399" t="s">
        <v>941</v>
      </c>
      <c r="L399" t="s">
        <v>87</v>
      </c>
      <c r="M399" t="s">
        <v>1254</v>
      </c>
      <c r="N399" t="s">
        <v>1255</v>
      </c>
      <c r="O399" t="s">
        <v>1256</v>
      </c>
      <c r="P399" t="s">
        <v>82</v>
      </c>
      <c r="Q399" t="s">
        <v>942</v>
      </c>
      <c r="R399" t="s">
        <v>943</v>
      </c>
      <c r="S399" t="s">
        <v>944</v>
      </c>
      <c r="T399" s="15">
        <v>46596</v>
      </c>
      <c r="U399">
        <v>225</v>
      </c>
      <c r="V399">
        <v>16</v>
      </c>
      <c r="W399" t="s">
        <v>70</v>
      </c>
      <c r="X399" t="s">
        <v>107</v>
      </c>
      <c r="Y399">
        <v>1</v>
      </c>
      <c r="Z399">
        <v>0</v>
      </c>
      <c r="AA399">
        <v>0</v>
      </c>
    </row>
    <row r="400" spans="1:27" x14ac:dyDescent="0.3">
      <c r="A400" t="s">
        <v>767</v>
      </c>
      <c r="B400" s="15">
        <v>45842</v>
      </c>
      <c r="C400" t="s">
        <v>73</v>
      </c>
      <c r="D400" t="s">
        <v>55</v>
      </c>
      <c r="E400" t="s">
        <v>1814</v>
      </c>
      <c r="F400" t="s">
        <v>1815</v>
      </c>
      <c r="G400" t="s">
        <v>1816</v>
      </c>
      <c r="H400" t="s">
        <v>1817</v>
      </c>
      <c r="I400" t="s">
        <v>1104</v>
      </c>
      <c r="J400" t="s">
        <v>1105</v>
      </c>
      <c r="K400" t="s">
        <v>1106</v>
      </c>
      <c r="L400" t="s">
        <v>87</v>
      </c>
      <c r="M400" t="s">
        <v>768</v>
      </c>
      <c r="N400" t="s">
        <v>769</v>
      </c>
      <c r="O400" t="s">
        <v>770</v>
      </c>
      <c r="P400" t="s">
        <v>82</v>
      </c>
      <c r="Q400" t="s">
        <v>1818</v>
      </c>
      <c r="R400" t="s">
        <v>1819</v>
      </c>
      <c r="S400" t="s">
        <v>1820</v>
      </c>
      <c r="T400" s="15">
        <v>46446</v>
      </c>
      <c r="U400">
        <v>225</v>
      </c>
      <c r="V400">
        <v>7</v>
      </c>
      <c r="W400" t="s">
        <v>70</v>
      </c>
      <c r="X400" t="s">
        <v>107</v>
      </c>
      <c r="Y400">
        <v>1</v>
      </c>
      <c r="Z400">
        <v>0</v>
      </c>
      <c r="AA400">
        <v>0</v>
      </c>
    </row>
    <row r="401" spans="1:27" x14ac:dyDescent="0.3">
      <c r="A401" t="s">
        <v>767</v>
      </c>
      <c r="B401" s="15">
        <v>45842</v>
      </c>
      <c r="C401" t="s">
        <v>73</v>
      </c>
      <c r="D401" t="s">
        <v>55</v>
      </c>
      <c r="E401" t="s">
        <v>1821</v>
      </c>
      <c r="F401" t="s">
        <v>1822</v>
      </c>
      <c r="G401" t="s">
        <v>1823</v>
      </c>
      <c r="H401" t="s">
        <v>1824</v>
      </c>
      <c r="I401" t="s">
        <v>1772</v>
      </c>
      <c r="J401" t="s">
        <v>1773</v>
      </c>
      <c r="K401" t="s">
        <v>1774</v>
      </c>
      <c r="L401" t="s">
        <v>87</v>
      </c>
      <c r="M401" t="s">
        <v>768</v>
      </c>
      <c r="N401" t="s">
        <v>769</v>
      </c>
      <c r="O401" t="s">
        <v>770</v>
      </c>
      <c r="P401" t="s">
        <v>82</v>
      </c>
      <c r="Q401" t="s">
        <v>1775</v>
      </c>
      <c r="R401" t="s">
        <v>1776</v>
      </c>
      <c r="S401" t="s">
        <v>1825</v>
      </c>
      <c r="T401" s="15">
        <v>46658</v>
      </c>
      <c r="U401">
        <v>225</v>
      </c>
      <c r="V401">
        <v>253.57</v>
      </c>
      <c r="W401" t="s">
        <v>70</v>
      </c>
      <c r="X401" t="s">
        <v>107</v>
      </c>
      <c r="Y401">
        <v>1</v>
      </c>
      <c r="Z401">
        <v>0</v>
      </c>
      <c r="AA401">
        <v>0</v>
      </c>
    </row>
    <row r="402" spans="1:27" x14ac:dyDescent="0.3">
      <c r="A402" t="s">
        <v>867</v>
      </c>
      <c r="B402" s="15">
        <v>45752</v>
      </c>
      <c r="C402" t="s">
        <v>503</v>
      </c>
      <c r="D402" t="s">
        <v>55</v>
      </c>
      <c r="E402" t="s">
        <v>868</v>
      </c>
      <c r="F402" t="s">
        <v>1826</v>
      </c>
      <c r="G402" t="s">
        <v>870</v>
      </c>
      <c r="H402" t="s">
        <v>871</v>
      </c>
      <c r="I402" t="s">
        <v>167</v>
      </c>
      <c r="J402" t="s">
        <v>872</v>
      </c>
      <c r="K402" t="s">
        <v>873</v>
      </c>
      <c r="L402" t="s">
        <v>87</v>
      </c>
      <c r="M402" t="s">
        <v>874</v>
      </c>
      <c r="N402" t="s">
        <v>875</v>
      </c>
      <c r="O402" t="s">
        <v>876</v>
      </c>
      <c r="P402" t="s">
        <v>167</v>
      </c>
      <c r="Q402" t="s">
        <v>665</v>
      </c>
      <c r="R402" t="s">
        <v>666</v>
      </c>
      <c r="S402" t="s">
        <v>1827</v>
      </c>
      <c r="T402" s="15">
        <v>47297</v>
      </c>
      <c r="U402">
        <v>224</v>
      </c>
      <c r="V402">
        <v>4</v>
      </c>
      <c r="W402" t="s">
        <v>70</v>
      </c>
      <c r="X402" t="s">
        <v>123</v>
      </c>
      <c r="Y402">
        <v>1</v>
      </c>
      <c r="Z402">
        <v>0</v>
      </c>
      <c r="AA402">
        <v>0</v>
      </c>
    </row>
    <row r="403" spans="1:27" x14ac:dyDescent="0.3">
      <c r="A403" t="s">
        <v>238</v>
      </c>
      <c r="B403" s="15">
        <v>45931</v>
      </c>
      <c r="C403" t="s">
        <v>179</v>
      </c>
      <c r="D403" t="s">
        <v>55</v>
      </c>
      <c r="E403" t="s">
        <v>1828</v>
      </c>
      <c r="F403" t="s">
        <v>1829</v>
      </c>
      <c r="G403" t="s">
        <v>1830</v>
      </c>
      <c r="H403" t="s">
        <v>1831</v>
      </c>
      <c r="I403" t="s">
        <v>1832</v>
      </c>
      <c r="J403" t="s">
        <v>1833</v>
      </c>
      <c r="K403" t="s">
        <v>1834</v>
      </c>
      <c r="L403" t="s">
        <v>186</v>
      </c>
      <c r="M403" t="s">
        <v>239</v>
      </c>
      <c r="N403" t="s">
        <v>240</v>
      </c>
      <c r="O403" t="s">
        <v>241</v>
      </c>
      <c r="P403" t="s">
        <v>82</v>
      </c>
      <c r="Q403" t="s">
        <v>1835</v>
      </c>
      <c r="R403" t="s">
        <v>1836</v>
      </c>
      <c r="S403" t="s">
        <v>1837</v>
      </c>
      <c r="T403" s="15">
        <v>46415</v>
      </c>
      <c r="U403">
        <v>222</v>
      </c>
      <c r="V403">
        <v>11.4</v>
      </c>
      <c r="W403" t="s">
        <v>70</v>
      </c>
      <c r="X403" t="s">
        <v>85</v>
      </c>
      <c r="Y403">
        <v>1</v>
      </c>
      <c r="Z403">
        <v>0</v>
      </c>
      <c r="AA403">
        <v>0</v>
      </c>
    </row>
    <row r="404" spans="1:27" x14ac:dyDescent="0.3">
      <c r="A404" t="s">
        <v>1240</v>
      </c>
      <c r="B404" s="15">
        <v>45842</v>
      </c>
      <c r="C404" t="s">
        <v>93</v>
      </c>
      <c r="D404" t="s">
        <v>55</v>
      </c>
      <c r="E404" t="s">
        <v>1838</v>
      </c>
      <c r="F404" t="s">
        <v>1839</v>
      </c>
      <c r="G404" t="s">
        <v>1840</v>
      </c>
      <c r="H404" t="s">
        <v>1841</v>
      </c>
      <c r="I404" t="s">
        <v>113</v>
      </c>
      <c r="J404" t="s">
        <v>1130</v>
      </c>
      <c r="K404" t="s">
        <v>1131</v>
      </c>
      <c r="L404" t="s">
        <v>186</v>
      </c>
      <c r="M404" t="s">
        <v>239</v>
      </c>
      <c r="N404" t="s">
        <v>240</v>
      </c>
      <c r="O404" t="s">
        <v>1241</v>
      </c>
      <c r="P404" t="s">
        <v>119</v>
      </c>
      <c r="Q404" t="s">
        <v>1842</v>
      </c>
      <c r="R404" t="s">
        <v>1843</v>
      </c>
      <c r="S404" t="s">
        <v>1844</v>
      </c>
      <c r="T404" s="15">
        <v>47480</v>
      </c>
      <c r="U404">
        <v>220</v>
      </c>
      <c r="V404">
        <v>25.96</v>
      </c>
      <c r="W404" t="s">
        <v>70</v>
      </c>
      <c r="X404" t="s">
        <v>107</v>
      </c>
      <c r="Y404">
        <v>1</v>
      </c>
      <c r="Z404">
        <v>0</v>
      </c>
      <c r="AA404">
        <v>0</v>
      </c>
    </row>
    <row r="405" spans="1:27" x14ac:dyDescent="0.3">
      <c r="A405" t="s">
        <v>708</v>
      </c>
      <c r="B405" s="15">
        <v>45815</v>
      </c>
      <c r="C405" t="s">
        <v>497</v>
      </c>
      <c r="D405" t="s">
        <v>55</v>
      </c>
      <c r="E405" t="s">
        <v>1303</v>
      </c>
      <c r="F405" t="s">
        <v>969</v>
      </c>
      <c r="G405" t="s">
        <v>1304</v>
      </c>
      <c r="H405" t="s">
        <v>1305</v>
      </c>
      <c r="I405" t="s">
        <v>254</v>
      </c>
      <c r="J405" t="s">
        <v>139</v>
      </c>
      <c r="K405" t="s">
        <v>140</v>
      </c>
      <c r="L405" t="s">
        <v>186</v>
      </c>
      <c r="M405" t="s">
        <v>713</v>
      </c>
      <c r="N405" t="s">
        <v>714</v>
      </c>
      <c r="O405" t="s">
        <v>715</v>
      </c>
      <c r="P405" t="s">
        <v>82</v>
      </c>
      <c r="Q405" t="s">
        <v>972</v>
      </c>
      <c r="R405" t="s">
        <v>973</v>
      </c>
      <c r="S405" t="s">
        <v>974</v>
      </c>
      <c r="T405" s="15">
        <v>46354</v>
      </c>
      <c r="U405">
        <v>220</v>
      </c>
      <c r="V405">
        <v>5.95</v>
      </c>
      <c r="W405" t="s">
        <v>70</v>
      </c>
      <c r="X405" t="s">
        <v>177</v>
      </c>
      <c r="Y405">
        <v>1</v>
      </c>
      <c r="Z405">
        <v>0</v>
      </c>
      <c r="AA405">
        <v>0</v>
      </c>
    </row>
    <row r="406" spans="1:27" x14ac:dyDescent="0.3">
      <c r="A406" t="s">
        <v>142</v>
      </c>
      <c r="B406" s="15">
        <v>45931</v>
      </c>
      <c r="C406" t="s">
        <v>93</v>
      </c>
      <c r="D406" t="s">
        <v>55</v>
      </c>
      <c r="E406" t="s">
        <v>1845</v>
      </c>
      <c r="F406" t="s">
        <v>1846</v>
      </c>
      <c r="G406" t="s">
        <v>1847</v>
      </c>
      <c r="H406" t="s">
        <v>1848</v>
      </c>
      <c r="I406" t="s">
        <v>1601</v>
      </c>
      <c r="J406" t="s">
        <v>1602</v>
      </c>
      <c r="K406" t="s">
        <v>1603</v>
      </c>
      <c r="L406" t="s">
        <v>87</v>
      </c>
      <c r="M406" t="s">
        <v>88</v>
      </c>
      <c r="N406" t="s">
        <v>89</v>
      </c>
      <c r="O406" t="s">
        <v>150</v>
      </c>
      <c r="P406" t="s">
        <v>82</v>
      </c>
      <c r="Q406" t="s">
        <v>1849</v>
      </c>
      <c r="R406" t="s">
        <v>1850</v>
      </c>
      <c r="S406" t="s">
        <v>1851</v>
      </c>
      <c r="T406" s="15">
        <v>46505</v>
      </c>
      <c r="U406">
        <v>220</v>
      </c>
      <c r="V406">
        <v>4.5999999999999996</v>
      </c>
      <c r="W406" t="s">
        <v>70</v>
      </c>
      <c r="X406" t="s">
        <v>85</v>
      </c>
      <c r="Y406">
        <v>1</v>
      </c>
      <c r="Z406">
        <v>0</v>
      </c>
      <c r="AA406">
        <v>0</v>
      </c>
    </row>
    <row r="407" spans="1:27" x14ac:dyDescent="0.3">
      <c r="A407" t="s">
        <v>928</v>
      </c>
      <c r="B407" s="15">
        <v>45842</v>
      </c>
      <c r="C407" t="s">
        <v>73</v>
      </c>
      <c r="D407" t="s">
        <v>55</v>
      </c>
      <c r="E407" t="s">
        <v>893</v>
      </c>
      <c r="F407" t="s">
        <v>1852</v>
      </c>
      <c r="G407" t="s">
        <v>895</v>
      </c>
      <c r="H407" t="s">
        <v>1853</v>
      </c>
      <c r="I407" t="s">
        <v>167</v>
      </c>
      <c r="J407" t="s">
        <v>897</v>
      </c>
      <c r="K407" t="s">
        <v>898</v>
      </c>
      <c r="L407" t="s">
        <v>87</v>
      </c>
      <c r="M407" t="s">
        <v>768</v>
      </c>
      <c r="N407" t="s">
        <v>769</v>
      </c>
      <c r="O407" t="s">
        <v>929</v>
      </c>
      <c r="P407" t="s">
        <v>167</v>
      </c>
      <c r="Q407" t="s">
        <v>1854</v>
      </c>
      <c r="R407" t="s">
        <v>1855</v>
      </c>
      <c r="S407" t="s">
        <v>1856</v>
      </c>
      <c r="T407" s="15">
        <v>46415</v>
      </c>
      <c r="U407">
        <v>219</v>
      </c>
      <c r="V407">
        <v>51.94</v>
      </c>
      <c r="W407" t="s">
        <v>70</v>
      </c>
      <c r="X407" t="s">
        <v>107</v>
      </c>
      <c r="Y407">
        <v>1</v>
      </c>
      <c r="Z407">
        <v>0</v>
      </c>
      <c r="AA407">
        <v>0</v>
      </c>
    </row>
    <row r="408" spans="1:27" x14ac:dyDescent="0.3">
      <c r="A408" t="s">
        <v>1660</v>
      </c>
      <c r="B408" s="15">
        <v>45752</v>
      </c>
      <c r="C408" t="s">
        <v>272</v>
      </c>
      <c r="D408" t="s">
        <v>55</v>
      </c>
      <c r="F408" t="s">
        <v>1857</v>
      </c>
      <c r="G408" t="s">
        <v>209</v>
      </c>
      <c r="H408" t="s">
        <v>1858</v>
      </c>
      <c r="I408" t="s">
        <v>211</v>
      </c>
      <c r="K408" t="s">
        <v>213</v>
      </c>
      <c r="L408" t="s">
        <v>63</v>
      </c>
      <c r="M408" t="s">
        <v>116</v>
      </c>
      <c r="N408" t="s">
        <v>117</v>
      </c>
      <c r="O408" t="s">
        <v>1663</v>
      </c>
      <c r="P408" t="s">
        <v>119</v>
      </c>
      <c r="Q408" t="s">
        <v>1859</v>
      </c>
      <c r="R408" t="s">
        <v>1860</v>
      </c>
      <c r="S408" t="s">
        <v>1861</v>
      </c>
      <c r="T408" s="15">
        <v>46231</v>
      </c>
      <c r="U408">
        <v>219</v>
      </c>
      <c r="V408">
        <v>420</v>
      </c>
      <c r="W408" t="s">
        <v>1510</v>
      </c>
      <c r="X408" t="s">
        <v>123</v>
      </c>
      <c r="Y408">
        <v>1</v>
      </c>
      <c r="Z408">
        <v>0</v>
      </c>
      <c r="AA408">
        <v>0</v>
      </c>
    </row>
    <row r="409" spans="1:27" x14ac:dyDescent="0.3">
      <c r="A409" t="s">
        <v>1277</v>
      </c>
      <c r="B409" s="15">
        <v>45752</v>
      </c>
      <c r="C409" t="s">
        <v>625</v>
      </c>
      <c r="D409" t="s">
        <v>55</v>
      </c>
      <c r="E409" t="s">
        <v>347</v>
      </c>
      <c r="F409" t="s">
        <v>1250</v>
      </c>
      <c r="G409" t="s">
        <v>349</v>
      </c>
      <c r="H409" t="s">
        <v>1220</v>
      </c>
      <c r="I409" t="s">
        <v>113</v>
      </c>
      <c r="J409" t="s">
        <v>114</v>
      </c>
      <c r="K409" t="s">
        <v>115</v>
      </c>
      <c r="L409" t="s">
        <v>87</v>
      </c>
      <c r="M409" t="s">
        <v>632</v>
      </c>
      <c r="N409" t="s">
        <v>633</v>
      </c>
      <c r="O409" t="s">
        <v>1279</v>
      </c>
      <c r="P409" t="s">
        <v>119</v>
      </c>
      <c r="Q409" t="s">
        <v>1056</v>
      </c>
      <c r="R409" t="s">
        <v>1057</v>
      </c>
      <c r="S409" t="s">
        <v>1252</v>
      </c>
      <c r="T409" s="15">
        <v>46293</v>
      </c>
      <c r="U409">
        <v>218</v>
      </c>
      <c r="V409">
        <v>13.79</v>
      </c>
      <c r="W409" t="s">
        <v>70</v>
      </c>
      <c r="X409" t="s">
        <v>123</v>
      </c>
      <c r="Y409">
        <v>1</v>
      </c>
      <c r="Z409">
        <v>0</v>
      </c>
      <c r="AA409">
        <v>0</v>
      </c>
    </row>
    <row r="410" spans="1:27" x14ac:dyDescent="0.3">
      <c r="A410" t="s">
        <v>142</v>
      </c>
      <c r="B410" s="15">
        <v>45931</v>
      </c>
      <c r="C410" t="s">
        <v>93</v>
      </c>
      <c r="D410" t="s">
        <v>55</v>
      </c>
      <c r="E410" t="s">
        <v>1862</v>
      </c>
      <c r="F410" t="s">
        <v>1863</v>
      </c>
      <c r="G410" t="s">
        <v>1864</v>
      </c>
      <c r="H410" t="s">
        <v>1865</v>
      </c>
      <c r="I410" t="s">
        <v>989</v>
      </c>
      <c r="J410" t="s">
        <v>695</v>
      </c>
      <c r="K410" t="s">
        <v>696</v>
      </c>
      <c r="L410" t="s">
        <v>87</v>
      </c>
      <c r="M410" t="s">
        <v>88</v>
      </c>
      <c r="N410" t="s">
        <v>89</v>
      </c>
      <c r="O410" t="s">
        <v>150</v>
      </c>
      <c r="P410" t="s">
        <v>82</v>
      </c>
      <c r="Q410" t="s">
        <v>1866</v>
      </c>
      <c r="R410" t="s">
        <v>1867</v>
      </c>
      <c r="S410" t="s">
        <v>1868</v>
      </c>
      <c r="T410" s="15">
        <v>46783</v>
      </c>
      <c r="U410">
        <v>216</v>
      </c>
      <c r="V410">
        <v>21</v>
      </c>
      <c r="W410" t="s">
        <v>70</v>
      </c>
      <c r="X410" t="s">
        <v>85</v>
      </c>
      <c r="Y410">
        <v>1</v>
      </c>
      <c r="Z410">
        <v>0</v>
      </c>
      <c r="AA410">
        <v>0</v>
      </c>
    </row>
    <row r="411" spans="1:27" x14ac:dyDescent="0.3">
      <c r="A411" t="s">
        <v>1301</v>
      </c>
      <c r="B411" s="15">
        <v>45842</v>
      </c>
      <c r="C411" t="s">
        <v>73</v>
      </c>
      <c r="D411" t="s">
        <v>55</v>
      </c>
      <c r="E411" t="s">
        <v>1075</v>
      </c>
      <c r="F411" t="s">
        <v>1076</v>
      </c>
      <c r="G411" t="s">
        <v>1077</v>
      </c>
      <c r="H411" t="s">
        <v>1078</v>
      </c>
      <c r="I411" t="s">
        <v>113</v>
      </c>
      <c r="J411" t="s">
        <v>114</v>
      </c>
      <c r="K411" t="s">
        <v>115</v>
      </c>
      <c r="L411" t="s">
        <v>87</v>
      </c>
      <c r="M411" t="s">
        <v>768</v>
      </c>
      <c r="N411" t="s">
        <v>769</v>
      </c>
      <c r="O411" t="s">
        <v>1302</v>
      </c>
      <c r="P411" t="s">
        <v>119</v>
      </c>
      <c r="Q411" t="s">
        <v>1056</v>
      </c>
      <c r="R411" t="s">
        <v>1057</v>
      </c>
      <c r="S411" t="s">
        <v>1080</v>
      </c>
      <c r="T411" s="15">
        <v>46231</v>
      </c>
      <c r="U411">
        <v>214</v>
      </c>
      <c r="V411">
        <v>13.79</v>
      </c>
      <c r="W411" t="s">
        <v>70</v>
      </c>
      <c r="X411" t="s">
        <v>107</v>
      </c>
      <c r="Y411">
        <v>1</v>
      </c>
      <c r="Z411">
        <v>0</v>
      </c>
      <c r="AA411">
        <v>0</v>
      </c>
    </row>
    <row r="412" spans="1:27" x14ac:dyDescent="0.3">
      <c r="A412" t="s">
        <v>767</v>
      </c>
      <c r="B412" s="15">
        <v>45842</v>
      </c>
      <c r="C412" t="s">
        <v>73</v>
      </c>
      <c r="D412" t="s">
        <v>55</v>
      </c>
      <c r="E412" t="s">
        <v>1196</v>
      </c>
      <c r="F412" t="s">
        <v>1197</v>
      </c>
      <c r="G412" t="s">
        <v>1198</v>
      </c>
      <c r="H412" t="s">
        <v>1199</v>
      </c>
      <c r="I412" t="s">
        <v>1200</v>
      </c>
      <c r="J412" t="s">
        <v>1201</v>
      </c>
      <c r="K412" t="s">
        <v>1202</v>
      </c>
      <c r="L412" t="s">
        <v>87</v>
      </c>
      <c r="M412" t="s">
        <v>768</v>
      </c>
      <c r="N412" t="s">
        <v>769</v>
      </c>
      <c r="O412" t="s">
        <v>770</v>
      </c>
      <c r="P412" t="s">
        <v>82</v>
      </c>
      <c r="Q412" t="s">
        <v>1203</v>
      </c>
      <c r="R412" t="s">
        <v>1204</v>
      </c>
      <c r="S412" t="s">
        <v>1205</v>
      </c>
      <c r="T412" s="15">
        <v>46415</v>
      </c>
      <c r="U412">
        <v>211</v>
      </c>
      <c r="V412">
        <v>29.83</v>
      </c>
      <c r="W412" t="s">
        <v>70</v>
      </c>
      <c r="X412" t="s">
        <v>107</v>
      </c>
      <c r="Y412">
        <v>1</v>
      </c>
      <c r="Z412">
        <v>0</v>
      </c>
      <c r="AA412">
        <v>0</v>
      </c>
    </row>
    <row r="413" spans="1:27" x14ac:dyDescent="0.3">
      <c r="A413" t="s">
        <v>1334</v>
      </c>
      <c r="B413" s="15">
        <v>45752</v>
      </c>
      <c r="C413" t="s">
        <v>93</v>
      </c>
      <c r="D413" t="s">
        <v>55</v>
      </c>
      <c r="E413" t="s">
        <v>893</v>
      </c>
      <c r="F413" t="s">
        <v>1869</v>
      </c>
      <c r="G413" t="s">
        <v>895</v>
      </c>
      <c r="H413" t="s">
        <v>896</v>
      </c>
      <c r="I413" t="s">
        <v>167</v>
      </c>
      <c r="J413" t="s">
        <v>897</v>
      </c>
      <c r="K413" t="s">
        <v>898</v>
      </c>
      <c r="L413" t="s">
        <v>63</v>
      </c>
      <c r="M413" t="s">
        <v>725</v>
      </c>
      <c r="N413" t="s">
        <v>726</v>
      </c>
      <c r="O413" t="s">
        <v>1339</v>
      </c>
      <c r="P413" t="s">
        <v>167</v>
      </c>
      <c r="Q413" t="s">
        <v>900</v>
      </c>
      <c r="R413" t="s">
        <v>901</v>
      </c>
      <c r="S413" t="s">
        <v>1870</v>
      </c>
      <c r="T413" s="15">
        <v>46140</v>
      </c>
      <c r="U413">
        <v>210</v>
      </c>
      <c r="V413">
        <v>17.2</v>
      </c>
      <c r="W413" t="s">
        <v>70</v>
      </c>
      <c r="X413" t="s">
        <v>123</v>
      </c>
      <c r="Y413">
        <v>0</v>
      </c>
      <c r="Z413">
        <v>0</v>
      </c>
      <c r="AA413">
        <v>0</v>
      </c>
    </row>
    <row r="414" spans="1:27" x14ac:dyDescent="0.3">
      <c r="A414" t="s">
        <v>708</v>
      </c>
      <c r="B414" s="15">
        <v>45815</v>
      </c>
      <c r="C414" t="s">
        <v>497</v>
      </c>
      <c r="D414" t="s">
        <v>55</v>
      </c>
      <c r="E414" t="s">
        <v>639</v>
      </c>
      <c r="F414" t="s">
        <v>640</v>
      </c>
      <c r="G414" t="s">
        <v>641</v>
      </c>
      <c r="H414" t="s">
        <v>642</v>
      </c>
      <c r="I414" t="s">
        <v>643</v>
      </c>
      <c r="J414" t="s">
        <v>644</v>
      </c>
      <c r="K414" t="s">
        <v>645</v>
      </c>
      <c r="L414" t="s">
        <v>186</v>
      </c>
      <c r="M414" t="s">
        <v>713</v>
      </c>
      <c r="N414" t="s">
        <v>714</v>
      </c>
      <c r="O414" t="s">
        <v>715</v>
      </c>
      <c r="P414" t="s">
        <v>82</v>
      </c>
      <c r="Q414" t="s">
        <v>647</v>
      </c>
      <c r="R414" t="s">
        <v>648</v>
      </c>
      <c r="S414" t="s">
        <v>649</v>
      </c>
      <c r="T414" s="15">
        <v>46121</v>
      </c>
      <c r="U414">
        <v>209</v>
      </c>
      <c r="V414">
        <v>2.6</v>
      </c>
      <c r="W414" t="s">
        <v>70</v>
      </c>
      <c r="X414" t="s">
        <v>177</v>
      </c>
      <c r="Y414">
        <v>1</v>
      </c>
      <c r="Z414">
        <v>0</v>
      </c>
      <c r="AA414">
        <v>0</v>
      </c>
    </row>
    <row r="415" spans="1:27" x14ac:dyDescent="0.3">
      <c r="A415" t="s">
        <v>1871</v>
      </c>
      <c r="B415" s="15">
        <v>45752</v>
      </c>
      <c r="C415" t="s">
        <v>497</v>
      </c>
      <c r="D415" t="s">
        <v>55</v>
      </c>
      <c r="E415" t="s">
        <v>1126</v>
      </c>
      <c r="F415" t="s">
        <v>1278</v>
      </c>
      <c r="G415" t="s">
        <v>1128</v>
      </c>
      <c r="H415" t="s">
        <v>1129</v>
      </c>
      <c r="I415" t="s">
        <v>113</v>
      </c>
      <c r="J415" t="s">
        <v>1130</v>
      </c>
      <c r="K415" t="s">
        <v>1131</v>
      </c>
      <c r="L415" t="s">
        <v>87</v>
      </c>
      <c r="M415" t="s">
        <v>864</v>
      </c>
      <c r="N415" t="s">
        <v>865</v>
      </c>
      <c r="O415" t="s">
        <v>1872</v>
      </c>
      <c r="P415" t="s">
        <v>119</v>
      </c>
      <c r="Q415" t="s">
        <v>584</v>
      </c>
      <c r="R415" t="s">
        <v>585</v>
      </c>
      <c r="S415" t="s">
        <v>1280</v>
      </c>
      <c r="T415" s="15">
        <v>46780</v>
      </c>
      <c r="U415">
        <v>204</v>
      </c>
      <c r="V415">
        <v>4.79</v>
      </c>
      <c r="W415" t="s">
        <v>70</v>
      </c>
      <c r="X415" t="s">
        <v>123</v>
      </c>
      <c r="Y415">
        <v>1</v>
      </c>
      <c r="Z415">
        <v>0</v>
      </c>
      <c r="AA415">
        <v>0</v>
      </c>
    </row>
    <row r="416" spans="1:27" x14ac:dyDescent="0.3">
      <c r="A416" t="s">
        <v>1064</v>
      </c>
      <c r="B416" s="15">
        <v>45842</v>
      </c>
      <c r="C416" t="s">
        <v>93</v>
      </c>
      <c r="D416" t="s">
        <v>55</v>
      </c>
      <c r="E416" t="s">
        <v>1873</v>
      </c>
      <c r="F416" t="s">
        <v>1874</v>
      </c>
      <c r="G416" t="s">
        <v>1875</v>
      </c>
      <c r="H416" t="s">
        <v>1876</v>
      </c>
      <c r="I416" t="s">
        <v>1877</v>
      </c>
      <c r="J416" t="s">
        <v>79</v>
      </c>
      <c r="K416" t="s">
        <v>80</v>
      </c>
      <c r="L416" t="s">
        <v>100</v>
      </c>
      <c r="M416" t="s">
        <v>101</v>
      </c>
      <c r="N416" t="s">
        <v>102</v>
      </c>
      <c r="O416" t="s">
        <v>1069</v>
      </c>
      <c r="P416" t="s">
        <v>67</v>
      </c>
      <c r="Q416" t="s">
        <v>1878</v>
      </c>
      <c r="R416" t="s">
        <v>1879</v>
      </c>
      <c r="S416" t="s">
        <v>1880</v>
      </c>
      <c r="T416" s="15">
        <v>46323</v>
      </c>
      <c r="U416">
        <v>202</v>
      </c>
      <c r="V416">
        <v>17.55</v>
      </c>
      <c r="W416" t="s">
        <v>70</v>
      </c>
      <c r="X416" t="s">
        <v>107</v>
      </c>
      <c r="Y416">
        <v>1</v>
      </c>
      <c r="Z416">
        <v>0</v>
      </c>
      <c r="AA416">
        <v>0</v>
      </c>
    </row>
    <row r="417" spans="1:27" x14ac:dyDescent="0.3">
      <c r="A417" t="s">
        <v>238</v>
      </c>
      <c r="B417" s="15">
        <v>45931</v>
      </c>
      <c r="C417" t="s">
        <v>179</v>
      </c>
      <c r="D417" t="s">
        <v>55</v>
      </c>
      <c r="E417" t="s">
        <v>134</v>
      </c>
      <c r="F417" t="s">
        <v>1881</v>
      </c>
      <c r="G417" t="s">
        <v>136</v>
      </c>
      <c r="H417" t="s">
        <v>1882</v>
      </c>
      <c r="I417" t="s">
        <v>138</v>
      </c>
      <c r="J417" t="s">
        <v>139</v>
      </c>
      <c r="K417" t="s">
        <v>140</v>
      </c>
      <c r="L417" t="s">
        <v>186</v>
      </c>
      <c r="M417" t="s">
        <v>239</v>
      </c>
      <c r="N417" t="s">
        <v>240</v>
      </c>
      <c r="O417" t="s">
        <v>241</v>
      </c>
      <c r="P417" t="s">
        <v>82</v>
      </c>
      <c r="Q417" t="s">
        <v>131</v>
      </c>
      <c r="R417" t="s">
        <v>132</v>
      </c>
      <c r="S417" t="s">
        <v>1883</v>
      </c>
      <c r="T417" s="15">
        <v>46535</v>
      </c>
      <c r="U417">
        <v>202</v>
      </c>
      <c r="V417">
        <v>11.66</v>
      </c>
      <c r="W417" t="s">
        <v>70</v>
      </c>
      <c r="X417" t="s">
        <v>85</v>
      </c>
      <c r="Y417">
        <v>0</v>
      </c>
      <c r="Z417">
        <v>0</v>
      </c>
      <c r="AA417">
        <v>0</v>
      </c>
    </row>
    <row r="418" spans="1:27" x14ac:dyDescent="0.3">
      <c r="A418" t="s">
        <v>72</v>
      </c>
      <c r="B418" s="15">
        <v>45931</v>
      </c>
      <c r="C418" t="s">
        <v>73</v>
      </c>
      <c r="D418" t="s">
        <v>55</v>
      </c>
      <c r="E418" t="s">
        <v>1884</v>
      </c>
      <c r="F418" t="s">
        <v>1885</v>
      </c>
      <c r="G418" t="s">
        <v>1886</v>
      </c>
      <c r="H418" t="s">
        <v>1887</v>
      </c>
      <c r="I418" t="s">
        <v>583</v>
      </c>
      <c r="J418" t="s">
        <v>79</v>
      </c>
      <c r="K418" t="s">
        <v>80</v>
      </c>
      <c r="L418" t="s">
        <v>63</v>
      </c>
      <c r="M418" t="s">
        <v>64</v>
      </c>
      <c r="N418" t="s">
        <v>65</v>
      </c>
      <c r="O418" t="s">
        <v>81</v>
      </c>
      <c r="P418" t="s">
        <v>82</v>
      </c>
      <c r="Q418" t="s">
        <v>1888</v>
      </c>
      <c r="R418" t="s">
        <v>1889</v>
      </c>
      <c r="S418" t="s">
        <v>1890</v>
      </c>
      <c r="T418" s="15">
        <v>46620</v>
      </c>
      <c r="U418">
        <v>202</v>
      </c>
      <c r="V418">
        <v>15.45</v>
      </c>
      <c r="W418" t="s">
        <v>70</v>
      </c>
      <c r="X418" t="s">
        <v>85</v>
      </c>
      <c r="Y418">
        <v>1</v>
      </c>
      <c r="Z418">
        <v>0</v>
      </c>
      <c r="AA418">
        <v>0</v>
      </c>
    </row>
    <row r="419" spans="1:27" x14ac:dyDescent="0.3">
      <c r="A419" t="s">
        <v>371</v>
      </c>
      <c r="B419" s="15">
        <v>45752</v>
      </c>
      <c r="C419" t="s">
        <v>54</v>
      </c>
      <c r="D419" t="s">
        <v>55</v>
      </c>
      <c r="E419" t="s">
        <v>308</v>
      </c>
      <c r="F419" t="s">
        <v>309</v>
      </c>
      <c r="G419" t="s">
        <v>310</v>
      </c>
      <c r="H419" t="s">
        <v>311</v>
      </c>
      <c r="I419" t="s">
        <v>277</v>
      </c>
      <c r="J419" t="s">
        <v>278</v>
      </c>
      <c r="K419" t="s">
        <v>279</v>
      </c>
      <c r="L419" t="s">
        <v>63</v>
      </c>
      <c r="M419" t="s">
        <v>116</v>
      </c>
      <c r="N419" t="s">
        <v>117</v>
      </c>
      <c r="O419" t="s">
        <v>373</v>
      </c>
      <c r="P419" t="s">
        <v>67</v>
      </c>
      <c r="Q419" t="s">
        <v>281</v>
      </c>
      <c r="R419" t="s">
        <v>282</v>
      </c>
      <c r="S419" t="s">
        <v>283</v>
      </c>
      <c r="T419" s="15">
        <v>46082</v>
      </c>
      <c r="U419">
        <v>200</v>
      </c>
      <c r="V419">
        <v>0.4</v>
      </c>
      <c r="W419" t="s">
        <v>70</v>
      </c>
      <c r="X419" t="s">
        <v>123</v>
      </c>
      <c r="Y419">
        <v>1</v>
      </c>
      <c r="Z419">
        <v>0</v>
      </c>
      <c r="AA419">
        <v>0</v>
      </c>
    </row>
    <row r="420" spans="1:27" x14ac:dyDescent="0.3">
      <c r="A420" t="s">
        <v>1891</v>
      </c>
      <c r="B420" s="15">
        <v>45661</v>
      </c>
      <c r="C420" t="s">
        <v>54</v>
      </c>
      <c r="D420" t="s">
        <v>55</v>
      </c>
      <c r="E420" t="s">
        <v>1892</v>
      </c>
      <c r="F420" t="s">
        <v>1893</v>
      </c>
      <c r="G420" t="s">
        <v>1894</v>
      </c>
      <c r="H420" t="s">
        <v>1895</v>
      </c>
      <c r="I420" t="s">
        <v>60</v>
      </c>
      <c r="J420" t="s">
        <v>61</v>
      </c>
      <c r="K420" t="s">
        <v>62</v>
      </c>
      <c r="L420" t="s">
        <v>186</v>
      </c>
      <c r="M420" t="s">
        <v>265</v>
      </c>
      <c r="N420" t="s">
        <v>266</v>
      </c>
      <c r="O420" t="s">
        <v>1896</v>
      </c>
      <c r="P420" t="s">
        <v>409</v>
      </c>
      <c r="Q420" t="s">
        <v>1897</v>
      </c>
      <c r="R420" t="s">
        <v>1898</v>
      </c>
      <c r="S420" t="s">
        <v>1899</v>
      </c>
      <c r="T420" s="15">
        <v>46811</v>
      </c>
      <c r="U420">
        <v>200</v>
      </c>
      <c r="V420">
        <v>5.9</v>
      </c>
      <c r="W420" t="s">
        <v>70</v>
      </c>
      <c r="X420" t="s">
        <v>193</v>
      </c>
      <c r="Y420">
        <v>1</v>
      </c>
      <c r="Z420">
        <v>0</v>
      </c>
      <c r="AA420">
        <v>0</v>
      </c>
    </row>
    <row r="421" spans="1:27" x14ac:dyDescent="0.3">
      <c r="A421" t="s">
        <v>1891</v>
      </c>
      <c r="B421" s="15">
        <v>45661</v>
      </c>
      <c r="C421" t="s">
        <v>54</v>
      </c>
      <c r="D421" t="s">
        <v>55</v>
      </c>
      <c r="F421" t="s">
        <v>1900</v>
      </c>
      <c r="G421" t="s">
        <v>1901</v>
      </c>
      <c r="H421" t="s">
        <v>1902</v>
      </c>
      <c r="I421" t="s">
        <v>1903</v>
      </c>
      <c r="K421" t="s">
        <v>62</v>
      </c>
      <c r="L421" t="s">
        <v>186</v>
      </c>
      <c r="M421" t="s">
        <v>265</v>
      </c>
      <c r="N421" t="s">
        <v>266</v>
      </c>
      <c r="O421" t="s">
        <v>1896</v>
      </c>
      <c r="P421" t="s">
        <v>409</v>
      </c>
      <c r="Q421" t="s">
        <v>1904</v>
      </c>
      <c r="R421" t="s">
        <v>1905</v>
      </c>
      <c r="S421" t="s">
        <v>1906</v>
      </c>
      <c r="T421" s="15">
        <v>46811</v>
      </c>
      <c r="U421">
        <v>200</v>
      </c>
      <c r="V421">
        <v>5.9</v>
      </c>
      <c r="W421" t="s">
        <v>70</v>
      </c>
      <c r="X421" t="s">
        <v>193</v>
      </c>
      <c r="Y421">
        <v>1</v>
      </c>
      <c r="Z421">
        <v>0</v>
      </c>
      <c r="AA421">
        <v>0</v>
      </c>
    </row>
    <row r="422" spans="1:27" x14ac:dyDescent="0.3">
      <c r="A422" t="s">
        <v>1907</v>
      </c>
      <c r="B422" s="15">
        <v>45842</v>
      </c>
      <c r="C422" t="s">
        <v>497</v>
      </c>
      <c r="D422" t="s">
        <v>55</v>
      </c>
      <c r="E422" t="s">
        <v>163</v>
      </c>
      <c r="F422" t="s">
        <v>164</v>
      </c>
      <c r="G422" t="s">
        <v>165</v>
      </c>
      <c r="H422" t="s">
        <v>166</v>
      </c>
      <c r="I422" t="s">
        <v>167</v>
      </c>
      <c r="J422" t="s">
        <v>168</v>
      </c>
      <c r="K422" t="s">
        <v>169</v>
      </c>
      <c r="L422" t="s">
        <v>718</v>
      </c>
      <c r="M422" t="s">
        <v>1192</v>
      </c>
      <c r="N422" t="s">
        <v>1193</v>
      </c>
      <c r="O422" t="s">
        <v>1908</v>
      </c>
      <c r="P422" t="s">
        <v>167</v>
      </c>
      <c r="Q422" t="s">
        <v>174</v>
      </c>
      <c r="R422" t="s">
        <v>175</v>
      </c>
      <c r="S422" t="s">
        <v>176</v>
      </c>
      <c r="T422" s="15">
        <v>46446</v>
      </c>
      <c r="U422">
        <v>200</v>
      </c>
      <c r="V422">
        <v>2.6</v>
      </c>
      <c r="W422" t="s">
        <v>70</v>
      </c>
      <c r="X422" t="s">
        <v>107</v>
      </c>
      <c r="Y422">
        <v>1</v>
      </c>
      <c r="Z422">
        <v>1</v>
      </c>
      <c r="AA422">
        <v>0</v>
      </c>
    </row>
    <row r="423" spans="1:27" x14ac:dyDescent="0.3">
      <c r="A423" t="s">
        <v>1909</v>
      </c>
      <c r="B423" s="15">
        <v>45842</v>
      </c>
      <c r="C423" t="s">
        <v>503</v>
      </c>
      <c r="D423" t="s">
        <v>55</v>
      </c>
      <c r="E423" t="s">
        <v>163</v>
      </c>
      <c r="F423" t="s">
        <v>164</v>
      </c>
      <c r="G423" t="s">
        <v>165</v>
      </c>
      <c r="H423" t="s">
        <v>166</v>
      </c>
      <c r="I423" t="s">
        <v>167</v>
      </c>
      <c r="J423" t="s">
        <v>168</v>
      </c>
      <c r="K423" t="s">
        <v>169</v>
      </c>
      <c r="L423" t="s">
        <v>718</v>
      </c>
      <c r="M423" t="s">
        <v>1192</v>
      </c>
      <c r="N423" t="s">
        <v>1193</v>
      </c>
      <c r="O423" t="s">
        <v>1910</v>
      </c>
      <c r="P423" t="s">
        <v>167</v>
      </c>
      <c r="Q423" t="s">
        <v>174</v>
      </c>
      <c r="R423" t="s">
        <v>175</v>
      </c>
      <c r="S423" t="s">
        <v>176</v>
      </c>
      <c r="T423" s="15">
        <v>46446</v>
      </c>
      <c r="U423">
        <v>200</v>
      </c>
      <c r="V423">
        <v>2.6</v>
      </c>
      <c r="W423" t="s">
        <v>70</v>
      </c>
      <c r="X423" t="s">
        <v>107</v>
      </c>
      <c r="Y423">
        <v>0</v>
      </c>
      <c r="Z423">
        <v>1</v>
      </c>
      <c r="AA423">
        <v>0</v>
      </c>
    </row>
    <row r="424" spans="1:27" x14ac:dyDescent="0.3">
      <c r="A424" t="s">
        <v>1911</v>
      </c>
      <c r="B424" s="15">
        <v>45842</v>
      </c>
      <c r="C424" t="s">
        <v>95</v>
      </c>
      <c r="D424" t="s">
        <v>55</v>
      </c>
      <c r="E424" t="s">
        <v>163</v>
      </c>
      <c r="F424" t="s">
        <v>164</v>
      </c>
      <c r="G424" t="s">
        <v>165</v>
      </c>
      <c r="H424" t="s">
        <v>166</v>
      </c>
      <c r="I424" t="s">
        <v>167</v>
      </c>
      <c r="J424" t="s">
        <v>168</v>
      </c>
      <c r="K424" t="s">
        <v>169</v>
      </c>
      <c r="L424" t="s">
        <v>718</v>
      </c>
      <c r="M424" t="s">
        <v>1192</v>
      </c>
      <c r="N424" t="s">
        <v>1193</v>
      </c>
      <c r="O424" t="s">
        <v>1912</v>
      </c>
      <c r="P424" t="s">
        <v>167</v>
      </c>
      <c r="Q424" t="s">
        <v>174</v>
      </c>
      <c r="R424" t="s">
        <v>175</v>
      </c>
      <c r="S424" t="s">
        <v>176</v>
      </c>
      <c r="T424" s="15">
        <v>46446</v>
      </c>
      <c r="U424">
        <v>200</v>
      </c>
      <c r="V424">
        <v>2.6</v>
      </c>
      <c r="W424" t="s">
        <v>70</v>
      </c>
      <c r="X424" t="s">
        <v>107</v>
      </c>
      <c r="Y424">
        <v>0</v>
      </c>
      <c r="Z424">
        <v>1</v>
      </c>
      <c r="AA424">
        <v>0</v>
      </c>
    </row>
    <row r="425" spans="1:27" x14ac:dyDescent="0.3">
      <c r="A425" t="s">
        <v>1913</v>
      </c>
      <c r="B425" s="15">
        <v>45842</v>
      </c>
      <c r="C425" t="s">
        <v>497</v>
      </c>
      <c r="D425" t="s">
        <v>55</v>
      </c>
      <c r="E425" t="s">
        <v>163</v>
      </c>
      <c r="F425" t="s">
        <v>164</v>
      </c>
      <c r="G425" t="s">
        <v>165</v>
      </c>
      <c r="H425" t="s">
        <v>166</v>
      </c>
      <c r="I425" t="s">
        <v>167</v>
      </c>
      <c r="J425" t="s">
        <v>168</v>
      </c>
      <c r="K425" t="s">
        <v>169</v>
      </c>
      <c r="L425" t="s">
        <v>718</v>
      </c>
      <c r="M425" t="s">
        <v>1192</v>
      </c>
      <c r="N425" t="s">
        <v>1193</v>
      </c>
      <c r="O425" t="s">
        <v>1914</v>
      </c>
      <c r="P425" t="s">
        <v>167</v>
      </c>
      <c r="Q425" t="s">
        <v>174</v>
      </c>
      <c r="R425" t="s">
        <v>175</v>
      </c>
      <c r="S425" t="s">
        <v>176</v>
      </c>
      <c r="T425" s="15">
        <v>46446</v>
      </c>
      <c r="U425">
        <v>200</v>
      </c>
      <c r="V425">
        <v>2.6</v>
      </c>
      <c r="W425" t="s">
        <v>70</v>
      </c>
      <c r="X425" t="s">
        <v>107</v>
      </c>
      <c r="Y425">
        <v>0</v>
      </c>
      <c r="Z425">
        <v>1</v>
      </c>
      <c r="AA425">
        <v>0</v>
      </c>
    </row>
    <row r="426" spans="1:27" x14ac:dyDescent="0.3">
      <c r="A426" t="s">
        <v>1915</v>
      </c>
      <c r="B426" s="15">
        <v>45842</v>
      </c>
      <c r="C426" t="s">
        <v>503</v>
      </c>
      <c r="D426" t="s">
        <v>55</v>
      </c>
      <c r="E426" t="s">
        <v>163</v>
      </c>
      <c r="F426" t="s">
        <v>164</v>
      </c>
      <c r="G426" t="s">
        <v>165</v>
      </c>
      <c r="H426" t="s">
        <v>166</v>
      </c>
      <c r="I426" t="s">
        <v>167</v>
      </c>
      <c r="J426" t="s">
        <v>168</v>
      </c>
      <c r="K426" t="s">
        <v>169</v>
      </c>
      <c r="L426" t="s">
        <v>718</v>
      </c>
      <c r="M426" t="s">
        <v>1192</v>
      </c>
      <c r="N426" t="s">
        <v>1193</v>
      </c>
      <c r="O426" t="s">
        <v>1916</v>
      </c>
      <c r="P426" t="s">
        <v>167</v>
      </c>
      <c r="Q426" t="s">
        <v>174</v>
      </c>
      <c r="R426" t="s">
        <v>175</v>
      </c>
      <c r="S426" t="s">
        <v>176</v>
      </c>
      <c r="T426" s="15">
        <v>46446</v>
      </c>
      <c r="U426">
        <v>200</v>
      </c>
      <c r="V426">
        <v>2.6</v>
      </c>
      <c r="W426" t="s">
        <v>70</v>
      </c>
      <c r="X426" t="s">
        <v>107</v>
      </c>
      <c r="Y426">
        <v>0</v>
      </c>
      <c r="Z426">
        <v>1</v>
      </c>
      <c r="AA426">
        <v>0</v>
      </c>
    </row>
    <row r="427" spans="1:27" x14ac:dyDescent="0.3">
      <c r="A427" t="s">
        <v>1917</v>
      </c>
      <c r="B427" s="15">
        <v>45842</v>
      </c>
      <c r="C427" t="s">
        <v>93</v>
      </c>
      <c r="D427" t="s">
        <v>55</v>
      </c>
      <c r="E427" t="s">
        <v>163</v>
      </c>
      <c r="F427" t="s">
        <v>164</v>
      </c>
      <c r="G427" t="s">
        <v>165</v>
      </c>
      <c r="H427" t="s">
        <v>166</v>
      </c>
      <c r="I427" t="s">
        <v>167</v>
      </c>
      <c r="J427" t="s">
        <v>168</v>
      </c>
      <c r="K427" t="s">
        <v>169</v>
      </c>
      <c r="L427" t="s">
        <v>718</v>
      </c>
      <c r="M427" t="s">
        <v>1192</v>
      </c>
      <c r="N427" t="s">
        <v>1193</v>
      </c>
      <c r="O427" t="s">
        <v>1918</v>
      </c>
      <c r="P427" t="s">
        <v>167</v>
      </c>
      <c r="Q427" t="s">
        <v>174</v>
      </c>
      <c r="R427" t="s">
        <v>175</v>
      </c>
      <c r="S427" t="s">
        <v>176</v>
      </c>
      <c r="T427" s="15">
        <v>46446</v>
      </c>
      <c r="U427">
        <v>200</v>
      </c>
      <c r="V427">
        <v>2.6</v>
      </c>
      <c r="W427" t="s">
        <v>70</v>
      </c>
      <c r="X427" t="s">
        <v>107</v>
      </c>
      <c r="Y427">
        <v>0</v>
      </c>
      <c r="Z427">
        <v>1</v>
      </c>
      <c r="AA427">
        <v>0</v>
      </c>
    </row>
    <row r="428" spans="1:27" x14ac:dyDescent="0.3">
      <c r="A428" t="s">
        <v>1919</v>
      </c>
      <c r="B428" s="15">
        <v>45842</v>
      </c>
      <c r="C428" t="s">
        <v>321</v>
      </c>
      <c r="D428" t="s">
        <v>55</v>
      </c>
      <c r="E428" t="s">
        <v>163</v>
      </c>
      <c r="F428" t="s">
        <v>164</v>
      </c>
      <c r="G428" t="s">
        <v>165</v>
      </c>
      <c r="H428" t="s">
        <v>166</v>
      </c>
      <c r="I428" t="s">
        <v>167</v>
      </c>
      <c r="J428" t="s">
        <v>168</v>
      </c>
      <c r="K428" t="s">
        <v>169</v>
      </c>
      <c r="L428" t="s">
        <v>718</v>
      </c>
      <c r="M428" t="s">
        <v>1192</v>
      </c>
      <c r="N428" t="s">
        <v>1193</v>
      </c>
      <c r="O428" t="s">
        <v>1920</v>
      </c>
      <c r="P428" t="s">
        <v>167</v>
      </c>
      <c r="Q428" t="s">
        <v>174</v>
      </c>
      <c r="R428" t="s">
        <v>175</v>
      </c>
      <c r="S428" t="s">
        <v>176</v>
      </c>
      <c r="T428" s="15">
        <v>46446</v>
      </c>
      <c r="U428">
        <v>200</v>
      </c>
      <c r="V428">
        <v>2.6</v>
      </c>
      <c r="W428" t="s">
        <v>70</v>
      </c>
      <c r="X428" t="s">
        <v>107</v>
      </c>
      <c r="Y428">
        <v>0</v>
      </c>
      <c r="Z428">
        <v>1</v>
      </c>
      <c r="AA428">
        <v>0</v>
      </c>
    </row>
    <row r="429" spans="1:27" x14ac:dyDescent="0.3">
      <c r="A429" t="s">
        <v>1921</v>
      </c>
      <c r="B429" s="15">
        <v>45842</v>
      </c>
      <c r="C429" t="s">
        <v>73</v>
      </c>
      <c r="D429" t="s">
        <v>55</v>
      </c>
      <c r="E429" t="s">
        <v>322</v>
      </c>
      <c r="F429" t="s">
        <v>323</v>
      </c>
      <c r="G429" t="s">
        <v>324</v>
      </c>
      <c r="H429" t="s">
        <v>325</v>
      </c>
      <c r="I429" t="s">
        <v>167</v>
      </c>
      <c r="J429" t="s">
        <v>326</v>
      </c>
      <c r="K429" t="s">
        <v>327</v>
      </c>
      <c r="L429" t="s">
        <v>87</v>
      </c>
      <c r="M429" t="s">
        <v>1922</v>
      </c>
      <c r="N429" t="s">
        <v>1923</v>
      </c>
      <c r="O429" t="s">
        <v>1924</v>
      </c>
      <c r="P429" t="s">
        <v>167</v>
      </c>
      <c r="Q429" t="s">
        <v>331</v>
      </c>
      <c r="R429" t="s">
        <v>332</v>
      </c>
      <c r="S429" t="s">
        <v>333</v>
      </c>
      <c r="T429" s="15">
        <v>47266</v>
      </c>
      <c r="U429">
        <v>200</v>
      </c>
      <c r="V429">
        <v>0.61</v>
      </c>
      <c r="W429" t="s">
        <v>70</v>
      </c>
      <c r="X429" t="s">
        <v>107</v>
      </c>
      <c r="Y429">
        <v>1</v>
      </c>
      <c r="Z429">
        <v>1</v>
      </c>
      <c r="AA429">
        <v>0</v>
      </c>
    </row>
    <row r="430" spans="1:27" x14ac:dyDescent="0.3">
      <c r="A430" t="s">
        <v>1301</v>
      </c>
      <c r="B430" s="15">
        <v>45842</v>
      </c>
      <c r="C430" t="s">
        <v>73</v>
      </c>
      <c r="D430" t="s">
        <v>55</v>
      </c>
      <c r="E430" t="s">
        <v>438</v>
      </c>
      <c r="F430" t="s">
        <v>1925</v>
      </c>
      <c r="G430" t="s">
        <v>440</v>
      </c>
      <c r="H430" t="s">
        <v>1926</v>
      </c>
      <c r="I430" t="s">
        <v>113</v>
      </c>
      <c r="J430" t="s">
        <v>441</v>
      </c>
      <c r="K430" t="s">
        <v>442</v>
      </c>
      <c r="L430" t="s">
        <v>87</v>
      </c>
      <c r="M430" t="s">
        <v>768</v>
      </c>
      <c r="N430" t="s">
        <v>769</v>
      </c>
      <c r="O430" t="s">
        <v>1302</v>
      </c>
      <c r="P430" t="s">
        <v>119</v>
      </c>
      <c r="Q430" t="s">
        <v>1927</v>
      </c>
      <c r="R430" t="s">
        <v>1928</v>
      </c>
      <c r="S430" t="s">
        <v>1929</v>
      </c>
      <c r="T430" s="15">
        <v>46262</v>
      </c>
      <c r="U430">
        <v>200</v>
      </c>
      <c r="V430">
        <v>81.3</v>
      </c>
      <c r="W430" t="s">
        <v>70</v>
      </c>
      <c r="X430" t="s">
        <v>107</v>
      </c>
      <c r="Y430">
        <v>1</v>
      </c>
      <c r="Z430">
        <v>0</v>
      </c>
      <c r="AA430">
        <v>0</v>
      </c>
    </row>
    <row r="431" spans="1:27" x14ac:dyDescent="0.3">
      <c r="A431" t="s">
        <v>1930</v>
      </c>
      <c r="B431" s="15">
        <v>45842</v>
      </c>
      <c r="C431" t="s">
        <v>321</v>
      </c>
      <c r="D431" t="s">
        <v>55</v>
      </c>
      <c r="E431" t="s">
        <v>701</v>
      </c>
      <c r="F431" t="s">
        <v>702</v>
      </c>
      <c r="G431" t="s">
        <v>703</v>
      </c>
      <c r="H431" t="s">
        <v>704</v>
      </c>
      <c r="I431" t="s">
        <v>254</v>
      </c>
      <c r="J431" t="s">
        <v>139</v>
      </c>
      <c r="K431" t="s">
        <v>140</v>
      </c>
      <c r="L431" t="s">
        <v>170</v>
      </c>
      <c r="M431" t="s">
        <v>1361</v>
      </c>
      <c r="N431" t="s">
        <v>1362</v>
      </c>
      <c r="O431" t="s">
        <v>1931</v>
      </c>
      <c r="P431" t="s">
        <v>82</v>
      </c>
      <c r="Q431" t="s">
        <v>705</v>
      </c>
      <c r="R431" t="s">
        <v>706</v>
      </c>
      <c r="S431" t="s">
        <v>707</v>
      </c>
      <c r="T431" s="15">
        <v>46415</v>
      </c>
      <c r="U431">
        <v>200</v>
      </c>
      <c r="V431">
        <v>7</v>
      </c>
      <c r="W431" t="s">
        <v>70</v>
      </c>
      <c r="X431" t="s">
        <v>107</v>
      </c>
      <c r="Y431">
        <v>1</v>
      </c>
      <c r="Z431">
        <v>0</v>
      </c>
      <c r="AA431">
        <v>0</v>
      </c>
    </row>
    <row r="432" spans="1:27" x14ac:dyDescent="0.3">
      <c r="A432" t="s">
        <v>1932</v>
      </c>
      <c r="B432" s="15">
        <v>45842</v>
      </c>
      <c r="C432" t="s">
        <v>503</v>
      </c>
      <c r="D432" t="s">
        <v>55</v>
      </c>
      <c r="E432" t="s">
        <v>701</v>
      </c>
      <c r="F432" t="s">
        <v>702</v>
      </c>
      <c r="G432" t="s">
        <v>703</v>
      </c>
      <c r="H432" t="s">
        <v>704</v>
      </c>
      <c r="I432" t="s">
        <v>254</v>
      </c>
      <c r="J432" t="s">
        <v>139</v>
      </c>
      <c r="K432" t="s">
        <v>140</v>
      </c>
      <c r="L432" t="s">
        <v>170</v>
      </c>
      <c r="M432" t="s">
        <v>1361</v>
      </c>
      <c r="N432" t="s">
        <v>1362</v>
      </c>
      <c r="O432" t="s">
        <v>1933</v>
      </c>
      <c r="P432" t="s">
        <v>82</v>
      </c>
      <c r="Q432" t="s">
        <v>705</v>
      </c>
      <c r="R432" t="s">
        <v>706</v>
      </c>
      <c r="S432" t="s">
        <v>707</v>
      </c>
      <c r="T432" s="15">
        <v>46415</v>
      </c>
      <c r="U432">
        <v>200</v>
      </c>
      <c r="V432">
        <v>7</v>
      </c>
      <c r="W432" t="s">
        <v>70</v>
      </c>
      <c r="X432" t="s">
        <v>107</v>
      </c>
      <c r="Y432">
        <v>0</v>
      </c>
      <c r="Z432">
        <v>0</v>
      </c>
      <c r="AA432">
        <v>0</v>
      </c>
    </row>
    <row r="433" spans="1:27" x14ac:dyDescent="0.3">
      <c r="A433" t="s">
        <v>1934</v>
      </c>
      <c r="B433" s="15">
        <v>45842</v>
      </c>
      <c r="C433" t="s">
        <v>503</v>
      </c>
      <c r="D433" t="s">
        <v>55</v>
      </c>
      <c r="E433" t="s">
        <v>701</v>
      </c>
      <c r="F433" t="s">
        <v>702</v>
      </c>
      <c r="G433" t="s">
        <v>703</v>
      </c>
      <c r="H433" t="s">
        <v>704</v>
      </c>
      <c r="I433" t="s">
        <v>254</v>
      </c>
      <c r="J433" t="s">
        <v>139</v>
      </c>
      <c r="K433" t="s">
        <v>140</v>
      </c>
      <c r="L433" t="s">
        <v>170</v>
      </c>
      <c r="M433" t="s">
        <v>1361</v>
      </c>
      <c r="N433" t="s">
        <v>1362</v>
      </c>
      <c r="O433" t="s">
        <v>1935</v>
      </c>
      <c r="P433" t="s">
        <v>82</v>
      </c>
      <c r="Q433" t="s">
        <v>705</v>
      </c>
      <c r="R433" t="s">
        <v>706</v>
      </c>
      <c r="S433" t="s">
        <v>707</v>
      </c>
      <c r="T433" s="15">
        <v>46415</v>
      </c>
      <c r="U433">
        <v>200</v>
      </c>
      <c r="V433">
        <v>7</v>
      </c>
      <c r="W433" t="s">
        <v>70</v>
      </c>
      <c r="X433" t="s">
        <v>107</v>
      </c>
      <c r="Y433">
        <v>0</v>
      </c>
      <c r="Z433">
        <v>0</v>
      </c>
      <c r="AA433">
        <v>0</v>
      </c>
    </row>
    <row r="434" spans="1:27" x14ac:dyDescent="0.3">
      <c r="A434" t="s">
        <v>1936</v>
      </c>
      <c r="B434" s="15">
        <v>45842</v>
      </c>
      <c r="C434" t="s">
        <v>503</v>
      </c>
      <c r="D434" t="s">
        <v>55</v>
      </c>
      <c r="E434" t="s">
        <v>701</v>
      </c>
      <c r="F434" t="s">
        <v>702</v>
      </c>
      <c r="G434" t="s">
        <v>703</v>
      </c>
      <c r="H434" t="s">
        <v>704</v>
      </c>
      <c r="I434" t="s">
        <v>254</v>
      </c>
      <c r="J434" t="s">
        <v>139</v>
      </c>
      <c r="K434" t="s">
        <v>140</v>
      </c>
      <c r="L434" t="s">
        <v>170</v>
      </c>
      <c r="M434" t="s">
        <v>1361</v>
      </c>
      <c r="N434" t="s">
        <v>1362</v>
      </c>
      <c r="O434" t="s">
        <v>1937</v>
      </c>
      <c r="P434" t="s">
        <v>82</v>
      </c>
      <c r="Q434" t="s">
        <v>705</v>
      </c>
      <c r="R434" t="s">
        <v>706</v>
      </c>
      <c r="S434" t="s">
        <v>707</v>
      </c>
      <c r="T434" s="15">
        <v>46415</v>
      </c>
      <c r="U434">
        <v>200</v>
      </c>
      <c r="V434">
        <v>7</v>
      </c>
      <c r="W434" t="s">
        <v>70</v>
      </c>
      <c r="X434" t="s">
        <v>107</v>
      </c>
      <c r="Y434">
        <v>0</v>
      </c>
      <c r="Z434">
        <v>0</v>
      </c>
      <c r="AA434">
        <v>0</v>
      </c>
    </row>
    <row r="435" spans="1:27" x14ac:dyDescent="0.3">
      <c r="A435" t="s">
        <v>765</v>
      </c>
      <c r="B435" s="15">
        <v>45815</v>
      </c>
      <c r="C435" t="s">
        <v>272</v>
      </c>
      <c r="D435" t="s">
        <v>55</v>
      </c>
      <c r="E435" t="s">
        <v>850</v>
      </c>
      <c r="F435" t="s">
        <v>851</v>
      </c>
      <c r="G435" t="s">
        <v>852</v>
      </c>
      <c r="H435" t="s">
        <v>853</v>
      </c>
      <c r="I435" t="s">
        <v>854</v>
      </c>
      <c r="J435" t="s">
        <v>79</v>
      </c>
      <c r="K435" t="s">
        <v>80</v>
      </c>
      <c r="L435" t="s">
        <v>186</v>
      </c>
      <c r="M435" t="s">
        <v>239</v>
      </c>
      <c r="N435" t="s">
        <v>240</v>
      </c>
      <c r="O435" t="s">
        <v>766</v>
      </c>
      <c r="P435" t="s">
        <v>82</v>
      </c>
      <c r="Q435" t="s">
        <v>855</v>
      </c>
      <c r="R435" t="s">
        <v>856</v>
      </c>
      <c r="S435" t="s">
        <v>857</v>
      </c>
      <c r="T435" s="15">
        <v>46446</v>
      </c>
      <c r="U435">
        <v>200</v>
      </c>
      <c r="V435">
        <v>13.4</v>
      </c>
      <c r="W435" t="s">
        <v>70</v>
      </c>
      <c r="X435" t="s">
        <v>177</v>
      </c>
      <c r="Y435">
        <v>1</v>
      </c>
      <c r="Z435">
        <v>0</v>
      </c>
      <c r="AA435">
        <v>0</v>
      </c>
    </row>
    <row r="436" spans="1:27" x14ac:dyDescent="0.3">
      <c r="A436" t="s">
        <v>1938</v>
      </c>
      <c r="B436" s="15">
        <v>45931</v>
      </c>
      <c r="C436" t="s">
        <v>54</v>
      </c>
      <c r="D436" t="s">
        <v>55</v>
      </c>
      <c r="E436" t="s">
        <v>1939</v>
      </c>
      <c r="F436" t="s">
        <v>1940</v>
      </c>
      <c r="G436" t="s">
        <v>1941</v>
      </c>
      <c r="H436" t="s">
        <v>1942</v>
      </c>
      <c r="I436" t="s">
        <v>1943</v>
      </c>
      <c r="J436" t="s">
        <v>1944</v>
      </c>
      <c r="K436" t="s">
        <v>1945</v>
      </c>
      <c r="L436" t="s">
        <v>186</v>
      </c>
      <c r="M436" t="s">
        <v>1053</v>
      </c>
      <c r="N436" t="s">
        <v>1054</v>
      </c>
      <c r="O436" t="s">
        <v>1946</v>
      </c>
      <c r="P436" t="s">
        <v>67</v>
      </c>
      <c r="Q436" t="s">
        <v>1947</v>
      </c>
      <c r="R436" t="s">
        <v>1948</v>
      </c>
      <c r="S436" t="s">
        <v>1949</v>
      </c>
      <c r="T436" s="15">
        <v>46027</v>
      </c>
      <c r="U436">
        <v>200</v>
      </c>
      <c r="V436">
        <v>4</v>
      </c>
      <c r="W436" t="s">
        <v>70</v>
      </c>
      <c r="X436" t="s">
        <v>85</v>
      </c>
      <c r="Y436">
        <v>1</v>
      </c>
      <c r="Z436">
        <v>0</v>
      </c>
      <c r="AA436">
        <v>0</v>
      </c>
    </row>
    <row r="437" spans="1:27" x14ac:dyDescent="0.3">
      <c r="A437" t="s">
        <v>206</v>
      </c>
      <c r="B437" s="15">
        <v>45931</v>
      </c>
      <c r="C437" t="s">
        <v>95</v>
      </c>
      <c r="D437" t="s">
        <v>55</v>
      </c>
      <c r="E437" t="s">
        <v>207</v>
      </c>
      <c r="F437" t="s">
        <v>1950</v>
      </c>
      <c r="G437" t="s">
        <v>209</v>
      </c>
      <c r="H437" t="s">
        <v>1951</v>
      </c>
      <c r="I437" t="s">
        <v>211</v>
      </c>
      <c r="J437" t="s">
        <v>212</v>
      </c>
      <c r="K437" t="s">
        <v>213</v>
      </c>
      <c r="L437" t="s">
        <v>63</v>
      </c>
      <c r="M437" t="s">
        <v>214</v>
      </c>
      <c r="N437" t="s">
        <v>215</v>
      </c>
      <c r="O437" t="s">
        <v>216</v>
      </c>
      <c r="P437" t="s">
        <v>119</v>
      </c>
      <c r="Q437" t="s">
        <v>1952</v>
      </c>
      <c r="R437" t="s">
        <v>1953</v>
      </c>
      <c r="S437" t="s">
        <v>1954</v>
      </c>
      <c r="T437" s="15">
        <v>46201</v>
      </c>
      <c r="U437">
        <v>200</v>
      </c>
      <c r="V437">
        <v>1200</v>
      </c>
      <c r="W437" t="s">
        <v>70</v>
      </c>
      <c r="X437" t="s">
        <v>85</v>
      </c>
      <c r="Y437">
        <v>1</v>
      </c>
      <c r="Z437">
        <v>1</v>
      </c>
      <c r="AA437">
        <v>0</v>
      </c>
    </row>
    <row r="438" spans="1:27" x14ac:dyDescent="0.3">
      <c r="A438" t="s">
        <v>1955</v>
      </c>
      <c r="B438" s="15">
        <v>45931</v>
      </c>
      <c r="C438" t="s">
        <v>93</v>
      </c>
      <c r="D438" t="s">
        <v>1956</v>
      </c>
      <c r="E438" t="s">
        <v>626</v>
      </c>
      <c r="F438" t="s">
        <v>1957</v>
      </c>
      <c r="G438" t="s">
        <v>628</v>
      </c>
      <c r="H438" t="s">
        <v>629</v>
      </c>
      <c r="I438" t="s">
        <v>167</v>
      </c>
      <c r="J438" t="s">
        <v>630</v>
      </c>
      <c r="K438" t="s">
        <v>631</v>
      </c>
      <c r="M438" t="s">
        <v>1958</v>
      </c>
      <c r="N438" t="s">
        <v>1959</v>
      </c>
      <c r="O438" t="s">
        <v>1960</v>
      </c>
      <c r="P438" t="s">
        <v>167</v>
      </c>
      <c r="Q438" t="s">
        <v>889</v>
      </c>
      <c r="R438" t="s">
        <v>890</v>
      </c>
      <c r="S438" t="s">
        <v>1961</v>
      </c>
      <c r="T438" s="15">
        <v>46401</v>
      </c>
      <c r="U438">
        <v>200</v>
      </c>
      <c r="V438">
        <v>15.33</v>
      </c>
      <c r="W438" t="s">
        <v>70</v>
      </c>
      <c r="X438" t="s">
        <v>85</v>
      </c>
      <c r="Y438">
        <v>1</v>
      </c>
      <c r="Z438">
        <v>1</v>
      </c>
      <c r="AA438">
        <v>0</v>
      </c>
    </row>
    <row r="439" spans="1:27" x14ac:dyDescent="0.3">
      <c r="A439" t="s">
        <v>1955</v>
      </c>
      <c r="B439" s="15">
        <v>45931</v>
      </c>
      <c r="C439" t="s">
        <v>93</v>
      </c>
      <c r="D439" t="s">
        <v>1956</v>
      </c>
      <c r="E439" t="s">
        <v>1335</v>
      </c>
      <c r="F439" t="s">
        <v>1962</v>
      </c>
      <c r="G439" t="s">
        <v>1337</v>
      </c>
      <c r="H439" t="s">
        <v>1963</v>
      </c>
      <c r="I439" t="s">
        <v>167</v>
      </c>
      <c r="J439" t="s">
        <v>591</v>
      </c>
      <c r="K439" t="s">
        <v>592</v>
      </c>
      <c r="M439" t="s">
        <v>1958</v>
      </c>
      <c r="N439" t="s">
        <v>1959</v>
      </c>
      <c r="O439" t="s">
        <v>1960</v>
      </c>
      <c r="P439" t="s">
        <v>167</v>
      </c>
      <c r="Q439" t="s">
        <v>1964</v>
      </c>
      <c r="R439" t="s">
        <v>1965</v>
      </c>
      <c r="S439" t="s">
        <v>1966</v>
      </c>
      <c r="T439" s="15">
        <v>46415</v>
      </c>
      <c r="U439">
        <v>200</v>
      </c>
      <c r="V439">
        <v>50</v>
      </c>
      <c r="W439" t="s">
        <v>70</v>
      </c>
      <c r="X439" t="s">
        <v>85</v>
      </c>
      <c r="Y439">
        <v>1</v>
      </c>
      <c r="Z439">
        <v>0</v>
      </c>
      <c r="AA439">
        <v>0</v>
      </c>
    </row>
    <row r="440" spans="1:27" x14ac:dyDescent="0.3">
      <c r="A440" t="s">
        <v>729</v>
      </c>
      <c r="B440" s="15">
        <v>45931</v>
      </c>
      <c r="C440" t="s">
        <v>272</v>
      </c>
      <c r="D440" t="s">
        <v>55</v>
      </c>
      <c r="E440" t="s">
        <v>273</v>
      </c>
      <c r="F440" t="s">
        <v>274</v>
      </c>
      <c r="G440" t="s">
        <v>275</v>
      </c>
      <c r="H440" t="s">
        <v>276</v>
      </c>
      <c r="I440" t="s">
        <v>277</v>
      </c>
      <c r="J440" t="s">
        <v>278</v>
      </c>
      <c r="K440" t="s">
        <v>279</v>
      </c>
      <c r="L440" t="s">
        <v>718</v>
      </c>
      <c r="M440" t="s">
        <v>730</v>
      </c>
      <c r="N440" t="s">
        <v>731</v>
      </c>
      <c r="O440" t="s">
        <v>732</v>
      </c>
      <c r="P440" t="s">
        <v>82</v>
      </c>
      <c r="Q440" t="s">
        <v>281</v>
      </c>
      <c r="R440" t="s">
        <v>282</v>
      </c>
      <c r="S440" t="s">
        <v>283</v>
      </c>
      <c r="T440" s="15">
        <v>46082</v>
      </c>
      <c r="U440">
        <v>200</v>
      </c>
      <c r="V440">
        <v>0.4</v>
      </c>
      <c r="W440" t="s">
        <v>70</v>
      </c>
      <c r="X440" t="s">
        <v>85</v>
      </c>
      <c r="Y440">
        <v>1</v>
      </c>
      <c r="Z440">
        <v>1</v>
      </c>
      <c r="AA440">
        <v>0</v>
      </c>
    </row>
    <row r="441" spans="1:27" x14ac:dyDescent="0.3">
      <c r="A441" t="s">
        <v>733</v>
      </c>
      <c r="B441" s="15">
        <v>45931</v>
      </c>
      <c r="C441" t="s">
        <v>179</v>
      </c>
      <c r="D441" t="s">
        <v>55</v>
      </c>
      <c r="E441" t="s">
        <v>273</v>
      </c>
      <c r="F441" t="s">
        <v>274</v>
      </c>
      <c r="G441" t="s">
        <v>275</v>
      </c>
      <c r="H441" t="s">
        <v>276</v>
      </c>
      <c r="I441" t="s">
        <v>277</v>
      </c>
      <c r="J441" t="s">
        <v>278</v>
      </c>
      <c r="K441" t="s">
        <v>279</v>
      </c>
      <c r="L441" t="s">
        <v>100</v>
      </c>
      <c r="M441" t="s">
        <v>734</v>
      </c>
      <c r="N441" t="s">
        <v>735</v>
      </c>
      <c r="O441" t="s">
        <v>736</v>
      </c>
      <c r="P441" t="s">
        <v>82</v>
      </c>
      <c r="Q441" t="s">
        <v>281</v>
      </c>
      <c r="R441" t="s">
        <v>282</v>
      </c>
      <c r="S441" t="s">
        <v>283</v>
      </c>
      <c r="T441" s="15">
        <v>46082</v>
      </c>
      <c r="U441">
        <v>200</v>
      </c>
      <c r="V441">
        <v>0.4</v>
      </c>
      <c r="W441" t="s">
        <v>70</v>
      </c>
      <c r="X441" t="s">
        <v>85</v>
      </c>
      <c r="Y441">
        <v>1</v>
      </c>
      <c r="Z441">
        <v>1</v>
      </c>
      <c r="AA441">
        <v>0</v>
      </c>
    </row>
    <row r="442" spans="1:27" x14ac:dyDescent="0.3">
      <c r="A442" t="s">
        <v>737</v>
      </c>
      <c r="B442" s="15">
        <v>45931</v>
      </c>
      <c r="C442" t="s">
        <v>93</v>
      </c>
      <c r="D442" t="s">
        <v>55</v>
      </c>
      <c r="E442" t="s">
        <v>273</v>
      </c>
      <c r="F442" t="s">
        <v>274</v>
      </c>
      <c r="G442" t="s">
        <v>275</v>
      </c>
      <c r="H442" t="s">
        <v>276</v>
      </c>
      <c r="I442" t="s">
        <v>277</v>
      </c>
      <c r="J442" t="s">
        <v>278</v>
      </c>
      <c r="K442" t="s">
        <v>279</v>
      </c>
      <c r="L442" t="s">
        <v>738</v>
      </c>
      <c r="M442" t="s">
        <v>739</v>
      </c>
      <c r="N442" t="s">
        <v>740</v>
      </c>
      <c r="O442" t="s">
        <v>741</v>
      </c>
      <c r="P442" t="s">
        <v>82</v>
      </c>
      <c r="Q442" t="s">
        <v>281</v>
      </c>
      <c r="R442" t="s">
        <v>282</v>
      </c>
      <c r="S442" t="s">
        <v>283</v>
      </c>
      <c r="T442" s="15">
        <v>46082</v>
      </c>
      <c r="U442">
        <v>200</v>
      </c>
      <c r="V442">
        <v>0.4</v>
      </c>
      <c r="W442" t="s">
        <v>70</v>
      </c>
      <c r="X442" t="s">
        <v>85</v>
      </c>
      <c r="Y442">
        <v>1</v>
      </c>
      <c r="Z442">
        <v>1</v>
      </c>
      <c r="AA442">
        <v>0</v>
      </c>
    </row>
    <row r="443" spans="1:27" x14ac:dyDescent="0.3">
      <c r="A443" t="s">
        <v>742</v>
      </c>
      <c r="B443" s="15">
        <v>45931</v>
      </c>
      <c r="C443" t="s">
        <v>743</v>
      </c>
      <c r="D443" t="s">
        <v>55</v>
      </c>
      <c r="E443" t="s">
        <v>273</v>
      </c>
      <c r="F443" t="s">
        <v>274</v>
      </c>
      <c r="G443" t="s">
        <v>275</v>
      </c>
      <c r="H443" t="s">
        <v>276</v>
      </c>
      <c r="I443" t="s">
        <v>277</v>
      </c>
      <c r="J443" t="s">
        <v>278</v>
      </c>
      <c r="K443" t="s">
        <v>279</v>
      </c>
      <c r="L443" t="s">
        <v>718</v>
      </c>
      <c r="M443" t="s">
        <v>719</v>
      </c>
      <c r="N443" t="s">
        <v>720</v>
      </c>
      <c r="O443" t="s">
        <v>744</v>
      </c>
      <c r="P443" t="s">
        <v>82</v>
      </c>
      <c r="Q443" t="s">
        <v>281</v>
      </c>
      <c r="R443" t="s">
        <v>282</v>
      </c>
      <c r="S443" t="s">
        <v>283</v>
      </c>
      <c r="T443" s="15">
        <v>46082</v>
      </c>
      <c r="U443">
        <v>200</v>
      </c>
      <c r="V443">
        <v>0.4</v>
      </c>
      <c r="W443" t="s">
        <v>70</v>
      </c>
      <c r="X443" t="s">
        <v>85</v>
      </c>
      <c r="Y443">
        <v>1</v>
      </c>
      <c r="Z443">
        <v>1</v>
      </c>
      <c r="AA443">
        <v>0</v>
      </c>
    </row>
    <row r="444" spans="1:27" x14ac:dyDescent="0.3">
      <c r="A444" t="s">
        <v>745</v>
      </c>
      <c r="B444" s="15">
        <v>45931</v>
      </c>
      <c r="C444" t="s">
        <v>95</v>
      </c>
      <c r="D444" t="s">
        <v>55</v>
      </c>
      <c r="E444" t="s">
        <v>273</v>
      </c>
      <c r="F444" t="s">
        <v>274</v>
      </c>
      <c r="G444" t="s">
        <v>275</v>
      </c>
      <c r="H444" t="s">
        <v>276</v>
      </c>
      <c r="I444" t="s">
        <v>277</v>
      </c>
      <c r="J444" t="s">
        <v>278</v>
      </c>
      <c r="K444" t="s">
        <v>279</v>
      </c>
      <c r="L444" t="s">
        <v>186</v>
      </c>
      <c r="M444" t="s">
        <v>504</v>
      </c>
      <c r="N444" t="s">
        <v>505</v>
      </c>
      <c r="O444" t="s">
        <v>746</v>
      </c>
      <c r="P444" t="s">
        <v>82</v>
      </c>
      <c r="Q444" t="s">
        <v>281</v>
      </c>
      <c r="R444" t="s">
        <v>282</v>
      </c>
      <c r="S444" t="s">
        <v>283</v>
      </c>
      <c r="T444" s="15">
        <v>46082</v>
      </c>
      <c r="U444">
        <v>200</v>
      </c>
      <c r="V444">
        <v>0.4</v>
      </c>
      <c r="W444" t="s">
        <v>70</v>
      </c>
      <c r="X444" t="s">
        <v>85</v>
      </c>
      <c r="Y444">
        <v>1</v>
      </c>
      <c r="Z444">
        <v>1</v>
      </c>
      <c r="AA444">
        <v>0</v>
      </c>
    </row>
    <row r="445" spans="1:27" x14ac:dyDescent="0.3">
      <c r="A445" t="s">
        <v>747</v>
      </c>
      <c r="B445" s="15">
        <v>45931</v>
      </c>
      <c r="C445" t="s">
        <v>93</v>
      </c>
      <c r="D445" t="s">
        <v>55</v>
      </c>
      <c r="E445" t="s">
        <v>273</v>
      </c>
      <c r="F445" t="s">
        <v>274</v>
      </c>
      <c r="G445" t="s">
        <v>275</v>
      </c>
      <c r="H445" t="s">
        <v>276</v>
      </c>
      <c r="I445" t="s">
        <v>277</v>
      </c>
      <c r="J445" t="s">
        <v>278</v>
      </c>
      <c r="K445" t="s">
        <v>279</v>
      </c>
      <c r="L445" t="s">
        <v>100</v>
      </c>
      <c r="M445" t="s">
        <v>748</v>
      </c>
      <c r="N445" t="s">
        <v>749</v>
      </c>
      <c r="O445" t="s">
        <v>750</v>
      </c>
      <c r="P445" t="s">
        <v>82</v>
      </c>
      <c r="Q445" t="s">
        <v>281</v>
      </c>
      <c r="R445" t="s">
        <v>282</v>
      </c>
      <c r="S445" t="s">
        <v>283</v>
      </c>
      <c r="T445" s="15">
        <v>46082</v>
      </c>
      <c r="U445">
        <v>200</v>
      </c>
      <c r="V445">
        <v>0.4</v>
      </c>
      <c r="W445" t="s">
        <v>70</v>
      </c>
      <c r="X445" t="s">
        <v>85</v>
      </c>
      <c r="Y445">
        <v>1</v>
      </c>
      <c r="Z445">
        <v>1</v>
      </c>
      <c r="AA445">
        <v>0</v>
      </c>
    </row>
    <row r="446" spans="1:27" x14ac:dyDescent="0.3">
      <c r="A446" t="s">
        <v>397</v>
      </c>
      <c r="B446" s="15">
        <v>45931</v>
      </c>
      <c r="C446" t="s">
        <v>398</v>
      </c>
      <c r="D446" t="s">
        <v>55</v>
      </c>
      <c r="E446" t="s">
        <v>1030</v>
      </c>
      <c r="F446" t="s">
        <v>1031</v>
      </c>
      <c r="G446" t="s">
        <v>1032</v>
      </c>
      <c r="H446" t="s">
        <v>1033</v>
      </c>
      <c r="I446" t="s">
        <v>1034</v>
      </c>
      <c r="J446" t="s">
        <v>527</v>
      </c>
      <c r="K446" t="s">
        <v>528</v>
      </c>
      <c r="L446" t="s">
        <v>170</v>
      </c>
      <c r="M446" t="s">
        <v>171</v>
      </c>
      <c r="N446" t="s">
        <v>172</v>
      </c>
      <c r="O446" t="s">
        <v>399</v>
      </c>
      <c r="P446" t="s">
        <v>82</v>
      </c>
      <c r="Q446" t="s">
        <v>665</v>
      </c>
      <c r="R446" t="s">
        <v>666</v>
      </c>
      <c r="S446" t="s">
        <v>1035</v>
      </c>
      <c r="T446" s="15">
        <v>47389</v>
      </c>
      <c r="U446">
        <v>200</v>
      </c>
      <c r="V446">
        <v>1.49</v>
      </c>
      <c r="W446" t="s">
        <v>70</v>
      </c>
      <c r="X446" t="s">
        <v>85</v>
      </c>
      <c r="Y446">
        <v>1</v>
      </c>
      <c r="Z446">
        <v>0</v>
      </c>
      <c r="AA446">
        <v>0</v>
      </c>
    </row>
    <row r="447" spans="1:27" x14ac:dyDescent="0.3">
      <c r="A447" t="s">
        <v>1045</v>
      </c>
      <c r="B447" s="15">
        <v>45931</v>
      </c>
      <c r="C447" t="s">
        <v>54</v>
      </c>
      <c r="D447" t="s">
        <v>55</v>
      </c>
      <c r="E447" t="s">
        <v>1967</v>
      </c>
      <c r="F447" t="s">
        <v>1968</v>
      </c>
      <c r="G447" t="s">
        <v>1969</v>
      </c>
      <c r="H447" t="s">
        <v>1970</v>
      </c>
      <c r="I447" t="s">
        <v>1671</v>
      </c>
      <c r="J447" t="s">
        <v>1672</v>
      </c>
      <c r="K447" t="s">
        <v>1673</v>
      </c>
      <c r="L447" t="s">
        <v>186</v>
      </c>
      <c r="M447" t="s">
        <v>1053</v>
      </c>
      <c r="N447" t="s">
        <v>1054</v>
      </c>
      <c r="O447" t="s">
        <v>1055</v>
      </c>
      <c r="P447" t="s">
        <v>82</v>
      </c>
      <c r="Q447" t="s">
        <v>1718</v>
      </c>
      <c r="R447" t="s">
        <v>1719</v>
      </c>
      <c r="S447" t="s">
        <v>1971</v>
      </c>
      <c r="T447" s="15">
        <v>46932</v>
      </c>
      <c r="U447">
        <v>200</v>
      </c>
      <c r="V447">
        <v>4.2</v>
      </c>
      <c r="W447" t="s">
        <v>70</v>
      </c>
      <c r="X447" t="s">
        <v>85</v>
      </c>
      <c r="Y447">
        <v>1</v>
      </c>
      <c r="Z447">
        <v>0</v>
      </c>
      <c r="AA447">
        <v>0</v>
      </c>
    </row>
    <row r="448" spans="1:27" x14ac:dyDescent="0.3">
      <c r="A448" t="s">
        <v>1045</v>
      </c>
      <c r="B448" s="15">
        <v>45931</v>
      </c>
      <c r="C448" t="s">
        <v>54</v>
      </c>
      <c r="D448" t="s">
        <v>55</v>
      </c>
      <c r="E448" t="s">
        <v>1972</v>
      </c>
      <c r="F448" t="s">
        <v>1973</v>
      </c>
      <c r="G448" t="s">
        <v>1974</v>
      </c>
      <c r="H448" t="s">
        <v>1975</v>
      </c>
      <c r="I448" t="s">
        <v>1328</v>
      </c>
      <c r="J448" t="s">
        <v>1051</v>
      </c>
      <c r="K448" t="s">
        <v>1052</v>
      </c>
      <c r="L448" t="s">
        <v>186</v>
      </c>
      <c r="M448" t="s">
        <v>1053</v>
      </c>
      <c r="N448" t="s">
        <v>1054</v>
      </c>
      <c r="O448" t="s">
        <v>1055</v>
      </c>
      <c r="P448" t="s">
        <v>82</v>
      </c>
      <c r="Q448" t="s">
        <v>1976</v>
      </c>
      <c r="R448" t="s">
        <v>1977</v>
      </c>
      <c r="S448" t="s">
        <v>1978</v>
      </c>
      <c r="T448" s="15">
        <v>46415</v>
      </c>
      <c r="U448">
        <v>200</v>
      </c>
      <c r="V448">
        <v>5.48</v>
      </c>
      <c r="W448" t="s">
        <v>70</v>
      </c>
      <c r="X448" t="s">
        <v>85</v>
      </c>
      <c r="Y448">
        <v>1</v>
      </c>
      <c r="Z448">
        <v>0</v>
      </c>
      <c r="AA448">
        <v>0</v>
      </c>
    </row>
    <row r="449" spans="1:27" x14ac:dyDescent="0.3">
      <c r="A449" t="s">
        <v>238</v>
      </c>
      <c r="B449" s="15">
        <v>45931</v>
      </c>
      <c r="C449" t="s">
        <v>179</v>
      </c>
      <c r="D449" t="s">
        <v>55</v>
      </c>
      <c r="E449" t="s">
        <v>1036</v>
      </c>
      <c r="F449" t="s">
        <v>1037</v>
      </c>
      <c r="G449" t="s">
        <v>1038</v>
      </c>
      <c r="H449" t="s">
        <v>1039</v>
      </c>
      <c r="I449" t="s">
        <v>254</v>
      </c>
      <c r="J449" t="s">
        <v>139</v>
      </c>
      <c r="K449" t="s">
        <v>140</v>
      </c>
      <c r="L449" t="s">
        <v>186</v>
      </c>
      <c r="M449" t="s">
        <v>239</v>
      </c>
      <c r="N449" t="s">
        <v>240</v>
      </c>
      <c r="O449" t="s">
        <v>241</v>
      </c>
      <c r="P449" t="s">
        <v>82</v>
      </c>
      <c r="Q449" t="s">
        <v>1040</v>
      </c>
      <c r="R449" t="s">
        <v>1041</v>
      </c>
      <c r="S449" t="s">
        <v>1042</v>
      </c>
      <c r="T449" s="15">
        <v>46446</v>
      </c>
      <c r="U449">
        <v>200</v>
      </c>
      <c r="V449">
        <v>8.2899999999999991</v>
      </c>
      <c r="W449" t="s">
        <v>70</v>
      </c>
      <c r="X449" t="s">
        <v>85</v>
      </c>
      <c r="Y449">
        <v>1</v>
      </c>
      <c r="Z449">
        <v>0</v>
      </c>
      <c r="AA449">
        <v>0</v>
      </c>
    </row>
    <row r="450" spans="1:27" x14ac:dyDescent="0.3">
      <c r="A450" t="s">
        <v>1979</v>
      </c>
      <c r="B450" s="15">
        <v>45931</v>
      </c>
      <c r="C450" t="s">
        <v>497</v>
      </c>
      <c r="D450" t="s">
        <v>55</v>
      </c>
      <c r="E450" t="s">
        <v>143</v>
      </c>
      <c r="F450" t="s">
        <v>144</v>
      </c>
      <c r="G450" t="s">
        <v>145</v>
      </c>
      <c r="H450" t="s">
        <v>146</v>
      </c>
      <c r="I450" t="s">
        <v>147</v>
      </c>
      <c r="J450" t="s">
        <v>148</v>
      </c>
      <c r="K450" t="s">
        <v>149</v>
      </c>
      <c r="L450" t="s">
        <v>718</v>
      </c>
      <c r="M450" t="s">
        <v>1024</v>
      </c>
      <c r="N450" t="s">
        <v>1025</v>
      </c>
      <c r="O450" t="s">
        <v>1980</v>
      </c>
      <c r="P450" t="s">
        <v>82</v>
      </c>
      <c r="Q450" t="s">
        <v>151</v>
      </c>
      <c r="R450" t="s">
        <v>152</v>
      </c>
      <c r="S450" t="s">
        <v>153</v>
      </c>
      <c r="T450" s="15">
        <v>47538</v>
      </c>
      <c r="U450">
        <v>200</v>
      </c>
      <c r="V450">
        <v>2.98</v>
      </c>
      <c r="W450" t="s">
        <v>70</v>
      </c>
      <c r="X450" t="s">
        <v>85</v>
      </c>
      <c r="Y450">
        <v>1</v>
      </c>
      <c r="Z450">
        <v>0</v>
      </c>
      <c r="AA450">
        <v>0</v>
      </c>
    </row>
    <row r="451" spans="1:27" x14ac:dyDescent="0.3">
      <c r="A451" t="s">
        <v>1045</v>
      </c>
      <c r="B451" s="15">
        <v>45931</v>
      </c>
      <c r="C451" t="s">
        <v>54</v>
      </c>
      <c r="D451" t="s">
        <v>55</v>
      </c>
      <c r="E451" t="s">
        <v>1981</v>
      </c>
      <c r="F451" t="s">
        <v>1982</v>
      </c>
      <c r="G451" t="s">
        <v>1983</v>
      </c>
      <c r="H451" t="s">
        <v>1984</v>
      </c>
      <c r="I451" t="s">
        <v>1985</v>
      </c>
      <c r="J451" t="s">
        <v>1201</v>
      </c>
      <c r="K451" t="s">
        <v>1202</v>
      </c>
      <c r="L451" t="s">
        <v>186</v>
      </c>
      <c r="M451" t="s">
        <v>1053</v>
      </c>
      <c r="N451" t="s">
        <v>1054</v>
      </c>
      <c r="O451" t="s">
        <v>1055</v>
      </c>
      <c r="P451" t="s">
        <v>82</v>
      </c>
      <c r="Q451" t="s">
        <v>1986</v>
      </c>
      <c r="R451" t="s">
        <v>1987</v>
      </c>
      <c r="S451" t="s">
        <v>1988</v>
      </c>
      <c r="T451" s="15">
        <v>46505</v>
      </c>
      <c r="U451">
        <v>200</v>
      </c>
      <c r="V451">
        <v>59</v>
      </c>
      <c r="W451" t="s">
        <v>70</v>
      </c>
      <c r="X451" t="s">
        <v>85</v>
      </c>
      <c r="Y451">
        <v>1</v>
      </c>
      <c r="Z451">
        <v>0</v>
      </c>
      <c r="AA451">
        <v>0</v>
      </c>
    </row>
    <row r="452" spans="1:27" x14ac:dyDescent="0.3">
      <c r="A452" t="s">
        <v>1045</v>
      </c>
      <c r="B452" s="15">
        <v>45931</v>
      </c>
      <c r="C452" t="s">
        <v>54</v>
      </c>
      <c r="D452" t="s">
        <v>55</v>
      </c>
      <c r="E452" t="s">
        <v>1989</v>
      </c>
      <c r="F452" t="s">
        <v>1990</v>
      </c>
      <c r="G452" t="s">
        <v>1991</v>
      </c>
      <c r="H452" t="s">
        <v>1992</v>
      </c>
      <c r="I452" t="s">
        <v>1310</v>
      </c>
      <c r="J452" t="s">
        <v>1105</v>
      </c>
      <c r="K452" t="s">
        <v>1106</v>
      </c>
      <c r="L452" t="s">
        <v>186</v>
      </c>
      <c r="M452" t="s">
        <v>1053</v>
      </c>
      <c r="N452" t="s">
        <v>1054</v>
      </c>
      <c r="O452" t="s">
        <v>1055</v>
      </c>
      <c r="P452" t="s">
        <v>82</v>
      </c>
      <c r="Q452" t="s">
        <v>1765</v>
      </c>
      <c r="R452" t="s">
        <v>1766</v>
      </c>
      <c r="S452" t="s">
        <v>1993</v>
      </c>
      <c r="T452" s="15">
        <v>46505</v>
      </c>
      <c r="U452">
        <v>200</v>
      </c>
      <c r="V452">
        <v>5.8</v>
      </c>
      <c r="W452" t="s">
        <v>70</v>
      </c>
      <c r="X452" t="s">
        <v>85</v>
      </c>
      <c r="Y452">
        <v>1</v>
      </c>
      <c r="Z452">
        <v>0</v>
      </c>
      <c r="AA452">
        <v>0</v>
      </c>
    </row>
    <row r="453" spans="1:27" x14ac:dyDescent="0.3">
      <c r="A453" t="s">
        <v>1994</v>
      </c>
      <c r="B453" s="15">
        <v>45931</v>
      </c>
      <c r="C453" t="s">
        <v>73</v>
      </c>
      <c r="D453" t="s">
        <v>1956</v>
      </c>
      <c r="E453" t="s">
        <v>626</v>
      </c>
      <c r="F453" t="s">
        <v>1432</v>
      </c>
      <c r="G453" t="s">
        <v>628</v>
      </c>
      <c r="H453" t="s">
        <v>1433</v>
      </c>
      <c r="I453" t="s">
        <v>167</v>
      </c>
      <c r="J453" t="s">
        <v>630</v>
      </c>
      <c r="K453" t="s">
        <v>631</v>
      </c>
      <c r="M453" t="s">
        <v>1995</v>
      </c>
      <c r="N453" t="s">
        <v>1996</v>
      </c>
      <c r="O453" t="s">
        <v>1997</v>
      </c>
      <c r="P453" t="s">
        <v>167</v>
      </c>
      <c r="Q453" t="s">
        <v>647</v>
      </c>
      <c r="R453" t="s">
        <v>648</v>
      </c>
      <c r="S453" t="s">
        <v>1435</v>
      </c>
      <c r="T453" s="15">
        <v>46293</v>
      </c>
      <c r="U453">
        <v>200</v>
      </c>
      <c r="V453">
        <v>43.78</v>
      </c>
      <c r="W453" t="s">
        <v>70</v>
      </c>
      <c r="X453" t="s">
        <v>85</v>
      </c>
      <c r="Y453">
        <v>1</v>
      </c>
      <c r="Z453">
        <v>0</v>
      </c>
      <c r="AA453">
        <v>0</v>
      </c>
    </row>
    <row r="454" spans="1:27" x14ac:dyDescent="0.3">
      <c r="A454" t="s">
        <v>1979</v>
      </c>
      <c r="B454" s="15">
        <v>45931</v>
      </c>
      <c r="C454" t="s">
        <v>497</v>
      </c>
      <c r="D454" t="s">
        <v>55</v>
      </c>
      <c r="E454" t="s">
        <v>1998</v>
      </c>
      <c r="F454" t="s">
        <v>1999</v>
      </c>
      <c r="G454" t="s">
        <v>2000</v>
      </c>
      <c r="H454" t="s">
        <v>2001</v>
      </c>
      <c r="I454" t="s">
        <v>2002</v>
      </c>
      <c r="J454" t="s">
        <v>2003</v>
      </c>
      <c r="K454" t="s">
        <v>2004</v>
      </c>
      <c r="L454" t="s">
        <v>718</v>
      </c>
      <c r="M454" t="s">
        <v>1024</v>
      </c>
      <c r="N454" t="s">
        <v>1025</v>
      </c>
      <c r="O454" t="s">
        <v>1980</v>
      </c>
      <c r="P454" t="s">
        <v>82</v>
      </c>
      <c r="Q454" t="s">
        <v>2005</v>
      </c>
      <c r="R454" t="s">
        <v>2006</v>
      </c>
      <c r="S454" t="s">
        <v>2007</v>
      </c>
      <c r="T454" s="15">
        <v>46917</v>
      </c>
      <c r="U454">
        <v>200</v>
      </c>
      <c r="V454">
        <v>94.02</v>
      </c>
      <c r="W454" t="s">
        <v>70</v>
      </c>
      <c r="X454" t="s">
        <v>85</v>
      </c>
      <c r="Y454">
        <v>1</v>
      </c>
      <c r="Z454">
        <v>0</v>
      </c>
      <c r="AA454">
        <v>0</v>
      </c>
    </row>
    <row r="455" spans="1:27" x14ac:dyDescent="0.3">
      <c r="A455" t="s">
        <v>1045</v>
      </c>
      <c r="B455" s="15">
        <v>45931</v>
      </c>
      <c r="C455" t="s">
        <v>54</v>
      </c>
      <c r="D455" t="s">
        <v>55</v>
      </c>
      <c r="E455" t="s">
        <v>2008</v>
      </c>
      <c r="F455" t="s">
        <v>2009</v>
      </c>
      <c r="G455" t="s">
        <v>2010</v>
      </c>
      <c r="H455" t="s">
        <v>2011</v>
      </c>
      <c r="I455" t="s">
        <v>2012</v>
      </c>
      <c r="J455" t="s">
        <v>2013</v>
      </c>
      <c r="K455" t="s">
        <v>2014</v>
      </c>
      <c r="L455" t="s">
        <v>186</v>
      </c>
      <c r="M455" t="s">
        <v>1053</v>
      </c>
      <c r="N455" t="s">
        <v>1054</v>
      </c>
      <c r="O455" t="s">
        <v>1055</v>
      </c>
      <c r="P455" t="s">
        <v>82</v>
      </c>
      <c r="Q455" t="s">
        <v>1221</v>
      </c>
      <c r="R455" t="s">
        <v>1222</v>
      </c>
      <c r="S455" t="s">
        <v>2015</v>
      </c>
      <c r="T455" s="15">
        <v>46535</v>
      </c>
      <c r="U455">
        <v>200</v>
      </c>
      <c r="V455">
        <v>4.28</v>
      </c>
      <c r="W455" t="s">
        <v>70</v>
      </c>
      <c r="X455" t="s">
        <v>85</v>
      </c>
      <c r="Y455">
        <v>1</v>
      </c>
      <c r="Z455">
        <v>0</v>
      </c>
      <c r="AA455">
        <v>0</v>
      </c>
    </row>
    <row r="456" spans="1:27" x14ac:dyDescent="0.3">
      <c r="A456" t="s">
        <v>397</v>
      </c>
      <c r="B456" s="15">
        <v>45931</v>
      </c>
      <c r="C456" t="s">
        <v>398</v>
      </c>
      <c r="D456" t="s">
        <v>55</v>
      </c>
      <c r="E456" t="s">
        <v>2016</v>
      </c>
      <c r="F456" t="s">
        <v>2017</v>
      </c>
      <c r="G456" t="s">
        <v>2018</v>
      </c>
      <c r="H456" t="s">
        <v>2019</v>
      </c>
      <c r="I456" t="s">
        <v>2020</v>
      </c>
      <c r="J456" t="s">
        <v>1120</v>
      </c>
      <c r="K456" t="s">
        <v>1121</v>
      </c>
      <c r="L456" t="s">
        <v>170</v>
      </c>
      <c r="M456" t="s">
        <v>171</v>
      </c>
      <c r="N456" t="s">
        <v>172</v>
      </c>
      <c r="O456" t="s">
        <v>399</v>
      </c>
      <c r="P456" t="s">
        <v>82</v>
      </c>
      <c r="Q456" t="s">
        <v>2021</v>
      </c>
      <c r="R456" t="s">
        <v>2022</v>
      </c>
      <c r="S456" t="s">
        <v>2023</v>
      </c>
      <c r="T456" s="15">
        <v>47542</v>
      </c>
      <c r="U456">
        <v>200</v>
      </c>
      <c r="V456">
        <v>9.5</v>
      </c>
      <c r="W456" t="s">
        <v>70</v>
      </c>
      <c r="X456" t="s">
        <v>85</v>
      </c>
      <c r="Y456">
        <v>1</v>
      </c>
      <c r="Z456">
        <v>0</v>
      </c>
      <c r="AA456">
        <v>0</v>
      </c>
    </row>
    <row r="457" spans="1:27" x14ac:dyDescent="0.3">
      <c r="A457" t="s">
        <v>142</v>
      </c>
      <c r="B457" s="15">
        <v>45931</v>
      </c>
      <c r="C457" t="s">
        <v>93</v>
      </c>
      <c r="D457" t="s">
        <v>55</v>
      </c>
      <c r="E457" t="s">
        <v>2016</v>
      </c>
      <c r="F457" t="s">
        <v>2017</v>
      </c>
      <c r="G457" t="s">
        <v>2018</v>
      </c>
      <c r="H457" t="s">
        <v>2019</v>
      </c>
      <c r="I457" t="s">
        <v>2020</v>
      </c>
      <c r="J457" t="s">
        <v>1120</v>
      </c>
      <c r="K457" t="s">
        <v>1121</v>
      </c>
      <c r="L457" t="s">
        <v>87</v>
      </c>
      <c r="M457" t="s">
        <v>88</v>
      </c>
      <c r="N457" t="s">
        <v>89</v>
      </c>
      <c r="O457" t="s">
        <v>150</v>
      </c>
      <c r="P457" t="s">
        <v>82</v>
      </c>
      <c r="Q457" t="s">
        <v>2021</v>
      </c>
      <c r="R457" t="s">
        <v>2022</v>
      </c>
      <c r="S457" t="s">
        <v>2023</v>
      </c>
      <c r="T457" s="15">
        <v>47542</v>
      </c>
      <c r="U457">
        <v>200</v>
      </c>
      <c r="V457">
        <v>9.5</v>
      </c>
      <c r="W457" t="s">
        <v>70</v>
      </c>
      <c r="X457" t="s">
        <v>85</v>
      </c>
      <c r="Y457">
        <v>1</v>
      </c>
      <c r="Z457">
        <v>0</v>
      </c>
      <c r="AA457">
        <v>0</v>
      </c>
    </row>
    <row r="458" spans="1:27" x14ac:dyDescent="0.3">
      <c r="A458" t="s">
        <v>2024</v>
      </c>
      <c r="B458" s="15">
        <v>45931</v>
      </c>
      <c r="C458" t="s">
        <v>54</v>
      </c>
      <c r="D458" t="s">
        <v>55</v>
      </c>
      <c r="E458" t="s">
        <v>829</v>
      </c>
      <c r="F458" t="s">
        <v>2025</v>
      </c>
      <c r="G458" t="s">
        <v>831</v>
      </c>
      <c r="H458" t="s">
        <v>2026</v>
      </c>
      <c r="I458" t="s">
        <v>167</v>
      </c>
      <c r="J458" t="s">
        <v>833</v>
      </c>
      <c r="K458" t="s">
        <v>834</v>
      </c>
      <c r="L458" t="s">
        <v>63</v>
      </c>
      <c r="M458" t="s">
        <v>214</v>
      </c>
      <c r="N458" t="s">
        <v>215</v>
      </c>
      <c r="O458" t="s">
        <v>2027</v>
      </c>
      <c r="P458" t="s">
        <v>167</v>
      </c>
      <c r="Q458" t="s">
        <v>2028</v>
      </c>
      <c r="R458" t="s">
        <v>2029</v>
      </c>
      <c r="S458" t="s">
        <v>2030</v>
      </c>
      <c r="T458" s="15">
        <v>47054</v>
      </c>
      <c r="U458">
        <v>200</v>
      </c>
      <c r="V458">
        <v>645</v>
      </c>
      <c r="W458" t="s">
        <v>70</v>
      </c>
      <c r="X458" t="s">
        <v>85</v>
      </c>
      <c r="Y458">
        <v>1</v>
      </c>
      <c r="Z458">
        <v>1</v>
      </c>
      <c r="AA458">
        <v>0</v>
      </c>
    </row>
    <row r="459" spans="1:27" x14ac:dyDescent="0.3">
      <c r="A459" t="s">
        <v>53</v>
      </c>
      <c r="B459" s="15">
        <v>45918</v>
      </c>
      <c r="C459" t="s">
        <v>54</v>
      </c>
      <c r="D459" t="s">
        <v>55</v>
      </c>
      <c r="E459" t="s">
        <v>2031</v>
      </c>
      <c r="F459" t="s">
        <v>2032</v>
      </c>
      <c r="G459" t="s">
        <v>2033</v>
      </c>
      <c r="H459" t="s">
        <v>2034</v>
      </c>
      <c r="I459" t="s">
        <v>2035</v>
      </c>
      <c r="J459" t="s">
        <v>2036</v>
      </c>
      <c r="K459" t="s">
        <v>2037</v>
      </c>
      <c r="L459" t="s">
        <v>63</v>
      </c>
      <c r="M459" t="s">
        <v>64</v>
      </c>
      <c r="N459" t="s">
        <v>65</v>
      </c>
      <c r="O459" t="s">
        <v>66</v>
      </c>
      <c r="P459" t="s">
        <v>67</v>
      </c>
      <c r="Q459" t="s">
        <v>2038</v>
      </c>
      <c r="R459" t="s">
        <v>2039</v>
      </c>
      <c r="S459" t="s">
        <v>2040</v>
      </c>
      <c r="T459" s="15">
        <v>46023</v>
      </c>
      <c r="U459">
        <v>200</v>
      </c>
      <c r="V459">
        <v>43.7</v>
      </c>
      <c r="W459" t="s">
        <v>70</v>
      </c>
      <c r="X459" t="s">
        <v>71</v>
      </c>
      <c r="Y459">
        <v>1</v>
      </c>
      <c r="Z459">
        <v>0</v>
      </c>
      <c r="AA459">
        <v>0</v>
      </c>
    </row>
    <row r="460" spans="1:27" x14ac:dyDescent="0.3">
      <c r="A460" t="s">
        <v>1467</v>
      </c>
      <c r="B460" s="15">
        <v>45918</v>
      </c>
      <c r="C460" t="s">
        <v>503</v>
      </c>
      <c r="D460" t="s">
        <v>55</v>
      </c>
      <c r="E460" t="s">
        <v>2041</v>
      </c>
      <c r="F460" t="s">
        <v>2042</v>
      </c>
      <c r="G460" t="s">
        <v>2043</v>
      </c>
      <c r="H460" t="s">
        <v>2044</v>
      </c>
      <c r="I460" t="s">
        <v>1671</v>
      </c>
      <c r="J460" t="s">
        <v>1672</v>
      </c>
      <c r="K460" t="s">
        <v>1673</v>
      </c>
      <c r="L460" t="s">
        <v>63</v>
      </c>
      <c r="M460" t="s">
        <v>1132</v>
      </c>
      <c r="N460" t="s">
        <v>1133</v>
      </c>
      <c r="O460" t="s">
        <v>1473</v>
      </c>
      <c r="P460" t="s">
        <v>82</v>
      </c>
      <c r="Q460" t="s">
        <v>2045</v>
      </c>
      <c r="R460" t="s">
        <v>2046</v>
      </c>
      <c r="S460" t="s">
        <v>2047</v>
      </c>
      <c r="T460" s="15">
        <v>46811</v>
      </c>
      <c r="U460">
        <v>200</v>
      </c>
      <c r="V460">
        <v>3.5</v>
      </c>
      <c r="W460" t="s">
        <v>70</v>
      </c>
      <c r="X460" t="s">
        <v>71</v>
      </c>
      <c r="Y460">
        <v>1</v>
      </c>
      <c r="Z460">
        <v>0</v>
      </c>
      <c r="AA460">
        <v>0</v>
      </c>
    </row>
    <row r="461" spans="1:27" x14ac:dyDescent="0.3">
      <c r="A461" t="s">
        <v>2048</v>
      </c>
      <c r="B461" s="15">
        <v>45918</v>
      </c>
      <c r="C461" t="s">
        <v>73</v>
      </c>
      <c r="D461" t="s">
        <v>55</v>
      </c>
      <c r="E461" t="s">
        <v>2041</v>
      </c>
      <c r="F461" t="s">
        <v>2042</v>
      </c>
      <c r="G461" t="s">
        <v>2043</v>
      </c>
      <c r="H461" t="s">
        <v>2044</v>
      </c>
      <c r="I461" t="s">
        <v>1671</v>
      </c>
      <c r="J461" t="s">
        <v>1672</v>
      </c>
      <c r="K461" t="s">
        <v>1673</v>
      </c>
      <c r="L461" t="s">
        <v>660</v>
      </c>
      <c r="M461" t="s">
        <v>1137</v>
      </c>
      <c r="N461" t="s">
        <v>1138</v>
      </c>
      <c r="O461" t="s">
        <v>2049</v>
      </c>
      <c r="P461" t="s">
        <v>82</v>
      </c>
      <c r="Q461" t="s">
        <v>2045</v>
      </c>
      <c r="R461" t="s">
        <v>2046</v>
      </c>
      <c r="S461" t="s">
        <v>2047</v>
      </c>
      <c r="T461" s="15">
        <v>46811</v>
      </c>
      <c r="U461">
        <v>200</v>
      </c>
      <c r="V461">
        <v>3.5</v>
      </c>
      <c r="W461" t="s">
        <v>70</v>
      </c>
      <c r="X461" t="s">
        <v>71</v>
      </c>
      <c r="Y461">
        <v>1</v>
      </c>
      <c r="Z461">
        <v>0</v>
      </c>
      <c r="AA461">
        <v>0</v>
      </c>
    </row>
    <row r="462" spans="1:27" x14ac:dyDescent="0.3">
      <c r="A462" t="s">
        <v>1475</v>
      </c>
      <c r="B462" s="15">
        <v>45918</v>
      </c>
      <c r="C462" t="s">
        <v>497</v>
      </c>
      <c r="D462" t="s">
        <v>55</v>
      </c>
      <c r="E462" t="s">
        <v>2041</v>
      </c>
      <c r="F462" t="s">
        <v>2042</v>
      </c>
      <c r="G462" t="s">
        <v>2043</v>
      </c>
      <c r="H462" t="s">
        <v>2044</v>
      </c>
      <c r="I462" t="s">
        <v>1671</v>
      </c>
      <c r="J462" t="s">
        <v>1672</v>
      </c>
      <c r="K462" t="s">
        <v>1673</v>
      </c>
      <c r="L462" t="s">
        <v>63</v>
      </c>
      <c r="M462" t="s">
        <v>1157</v>
      </c>
      <c r="N462" t="s">
        <v>1158</v>
      </c>
      <c r="O462" t="s">
        <v>1476</v>
      </c>
      <c r="P462" t="s">
        <v>82</v>
      </c>
      <c r="Q462" t="s">
        <v>2045</v>
      </c>
      <c r="R462" t="s">
        <v>2046</v>
      </c>
      <c r="S462" t="s">
        <v>2047</v>
      </c>
      <c r="T462" s="15">
        <v>46811</v>
      </c>
      <c r="U462">
        <v>200</v>
      </c>
      <c r="V462">
        <v>3.5</v>
      </c>
      <c r="W462" t="s">
        <v>70</v>
      </c>
      <c r="X462" t="s">
        <v>71</v>
      </c>
      <c r="Y462">
        <v>1</v>
      </c>
      <c r="Z462">
        <v>0</v>
      </c>
      <c r="AA462">
        <v>0</v>
      </c>
    </row>
    <row r="463" spans="1:27" x14ac:dyDescent="0.3">
      <c r="A463" t="s">
        <v>1477</v>
      </c>
      <c r="B463" s="15">
        <v>45918</v>
      </c>
      <c r="C463" t="s">
        <v>73</v>
      </c>
      <c r="D463" t="s">
        <v>55</v>
      </c>
      <c r="E463" t="s">
        <v>2041</v>
      </c>
      <c r="F463" t="s">
        <v>2042</v>
      </c>
      <c r="G463" t="s">
        <v>2043</v>
      </c>
      <c r="H463" t="s">
        <v>2044</v>
      </c>
      <c r="I463" t="s">
        <v>1671</v>
      </c>
      <c r="J463" t="s">
        <v>1672</v>
      </c>
      <c r="K463" t="s">
        <v>1673</v>
      </c>
      <c r="L463" t="s">
        <v>63</v>
      </c>
      <c r="M463" t="s">
        <v>1141</v>
      </c>
      <c r="N463" t="s">
        <v>1142</v>
      </c>
      <c r="O463" t="s">
        <v>1478</v>
      </c>
      <c r="P463" t="s">
        <v>82</v>
      </c>
      <c r="Q463" t="s">
        <v>2045</v>
      </c>
      <c r="R463" t="s">
        <v>2046</v>
      </c>
      <c r="S463" t="s">
        <v>2047</v>
      </c>
      <c r="T463" s="15">
        <v>46811</v>
      </c>
      <c r="U463">
        <v>200</v>
      </c>
      <c r="V463">
        <v>3.5</v>
      </c>
      <c r="W463" t="s">
        <v>70</v>
      </c>
      <c r="X463" t="s">
        <v>71</v>
      </c>
      <c r="Y463">
        <v>1</v>
      </c>
      <c r="Z463">
        <v>0</v>
      </c>
      <c r="AA463">
        <v>0</v>
      </c>
    </row>
    <row r="464" spans="1:27" x14ac:dyDescent="0.3">
      <c r="A464" t="s">
        <v>1479</v>
      </c>
      <c r="B464" s="15">
        <v>45918</v>
      </c>
      <c r="C464" t="s">
        <v>54</v>
      </c>
      <c r="D464" t="s">
        <v>55</v>
      </c>
      <c r="E464" t="s">
        <v>2041</v>
      </c>
      <c r="F464" t="s">
        <v>2042</v>
      </c>
      <c r="G464" t="s">
        <v>2043</v>
      </c>
      <c r="H464" t="s">
        <v>2044</v>
      </c>
      <c r="I464" t="s">
        <v>1671</v>
      </c>
      <c r="J464" t="s">
        <v>1672</v>
      </c>
      <c r="K464" t="s">
        <v>1673</v>
      </c>
      <c r="L464" t="s">
        <v>63</v>
      </c>
      <c r="M464" t="s">
        <v>1145</v>
      </c>
      <c r="N464" t="s">
        <v>1146</v>
      </c>
      <c r="O464" t="s">
        <v>1480</v>
      </c>
      <c r="P464" t="s">
        <v>82</v>
      </c>
      <c r="Q464" t="s">
        <v>2045</v>
      </c>
      <c r="R464" t="s">
        <v>2046</v>
      </c>
      <c r="S464" t="s">
        <v>2047</v>
      </c>
      <c r="T464" s="15">
        <v>46811</v>
      </c>
      <c r="U464">
        <v>200</v>
      </c>
      <c r="V464">
        <v>3.5</v>
      </c>
      <c r="W464" t="s">
        <v>70</v>
      </c>
      <c r="X464" t="s">
        <v>71</v>
      </c>
      <c r="Y464">
        <v>1</v>
      </c>
      <c r="Z464">
        <v>0</v>
      </c>
      <c r="AA464">
        <v>0</v>
      </c>
    </row>
    <row r="465" spans="1:27" x14ac:dyDescent="0.3">
      <c r="A465" t="s">
        <v>1481</v>
      </c>
      <c r="B465" s="15">
        <v>45918</v>
      </c>
      <c r="C465" t="s">
        <v>179</v>
      </c>
      <c r="D465" t="s">
        <v>55</v>
      </c>
      <c r="E465" t="s">
        <v>2041</v>
      </c>
      <c r="F465" t="s">
        <v>2042</v>
      </c>
      <c r="G465" t="s">
        <v>2043</v>
      </c>
      <c r="H465" t="s">
        <v>2044</v>
      </c>
      <c r="I465" t="s">
        <v>1671</v>
      </c>
      <c r="J465" t="s">
        <v>1672</v>
      </c>
      <c r="K465" t="s">
        <v>1673</v>
      </c>
      <c r="L465" t="s">
        <v>63</v>
      </c>
      <c r="M465" t="s">
        <v>1153</v>
      </c>
      <c r="N465" t="s">
        <v>1154</v>
      </c>
      <c r="O465" t="s">
        <v>1482</v>
      </c>
      <c r="P465" t="s">
        <v>82</v>
      </c>
      <c r="Q465" t="s">
        <v>2045</v>
      </c>
      <c r="R465" t="s">
        <v>2046</v>
      </c>
      <c r="S465" t="s">
        <v>2047</v>
      </c>
      <c r="T465" s="15">
        <v>46811</v>
      </c>
      <c r="U465">
        <v>200</v>
      </c>
      <c r="V465">
        <v>3.5</v>
      </c>
      <c r="W465" t="s">
        <v>70</v>
      </c>
      <c r="X465" t="s">
        <v>71</v>
      </c>
      <c r="Y465">
        <v>1</v>
      </c>
      <c r="Z465">
        <v>0</v>
      </c>
      <c r="AA465">
        <v>0</v>
      </c>
    </row>
    <row r="466" spans="1:27" x14ac:dyDescent="0.3">
      <c r="A466" t="s">
        <v>1483</v>
      </c>
      <c r="B466" s="15">
        <v>45918</v>
      </c>
      <c r="C466" t="s">
        <v>93</v>
      </c>
      <c r="D466" t="s">
        <v>55</v>
      </c>
      <c r="E466" t="s">
        <v>2041</v>
      </c>
      <c r="F466" t="s">
        <v>2042</v>
      </c>
      <c r="G466" t="s">
        <v>2043</v>
      </c>
      <c r="H466" t="s">
        <v>2044</v>
      </c>
      <c r="I466" t="s">
        <v>1671</v>
      </c>
      <c r="J466" t="s">
        <v>1672</v>
      </c>
      <c r="K466" t="s">
        <v>1673</v>
      </c>
      <c r="L466" t="s">
        <v>660</v>
      </c>
      <c r="M466" t="s">
        <v>1149</v>
      </c>
      <c r="N466" t="s">
        <v>1150</v>
      </c>
      <c r="O466" t="s">
        <v>1484</v>
      </c>
      <c r="P466" t="s">
        <v>82</v>
      </c>
      <c r="Q466" t="s">
        <v>2045</v>
      </c>
      <c r="R466" t="s">
        <v>2046</v>
      </c>
      <c r="S466" t="s">
        <v>2047</v>
      </c>
      <c r="T466" s="15">
        <v>46811</v>
      </c>
      <c r="U466">
        <v>200</v>
      </c>
      <c r="V466">
        <v>3.5</v>
      </c>
      <c r="W466" t="s">
        <v>70</v>
      </c>
      <c r="X466" t="s">
        <v>71</v>
      </c>
      <c r="Y466">
        <v>1</v>
      </c>
      <c r="Z466">
        <v>0</v>
      </c>
      <c r="AA466">
        <v>0</v>
      </c>
    </row>
    <row r="467" spans="1:27" x14ac:dyDescent="0.3">
      <c r="A467" t="s">
        <v>1485</v>
      </c>
      <c r="B467" s="15">
        <v>45918</v>
      </c>
      <c r="C467" t="s">
        <v>1165</v>
      </c>
      <c r="D467" t="s">
        <v>55</v>
      </c>
      <c r="E467" t="s">
        <v>2041</v>
      </c>
      <c r="F467" t="s">
        <v>2042</v>
      </c>
      <c r="G467" t="s">
        <v>2043</v>
      </c>
      <c r="H467" t="s">
        <v>2044</v>
      </c>
      <c r="I467" t="s">
        <v>1671</v>
      </c>
      <c r="J467" t="s">
        <v>1672</v>
      </c>
      <c r="K467" t="s">
        <v>1673</v>
      </c>
      <c r="L467" t="s">
        <v>738</v>
      </c>
      <c r="M467" t="s">
        <v>1166</v>
      </c>
      <c r="N467" t="s">
        <v>1167</v>
      </c>
      <c r="O467" t="s">
        <v>1486</v>
      </c>
      <c r="P467" t="s">
        <v>82</v>
      </c>
      <c r="Q467" t="s">
        <v>2045</v>
      </c>
      <c r="R467" t="s">
        <v>2046</v>
      </c>
      <c r="S467" t="s">
        <v>2047</v>
      </c>
      <c r="T467" s="15">
        <v>46811</v>
      </c>
      <c r="U467">
        <v>200</v>
      </c>
      <c r="V467">
        <v>3.5</v>
      </c>
      <c r="W467" t="s">
        <v>70</v>
      </c>
      <c r="X467" t="s">
        <v>71</v>
      </c>
      <c r="Y467">
        <v>1</v>
      </c>
      <c r="Z467">
        <v>0</v>
      </c>
      <c r="AA467">
        <v>0</v>
      </c>
    </row>
    <row r="468" spans="1:27" x14ac:dyDescent="0.3">
      <c r="A468" t="s">
        <v>1487</v>
      </c>
      <c r="B468" s="15">
        <v>45918</v>
      </c>
      <c r="C468" t="s">
        <v>179</v>
      </c>
      <c r="D468" t="s">
        <v>55</v>
      </c>
      <c r="E468" t="s">
        <v>2041</v>
      </c>
      <c r="F468" t="s">
        <v>2042</v>
      </c>
      <c r="G468" t="s">
        <v>2043</v>
      </c>
      <c r="H468" t="s">
        <v>2044</v>
      </c>
      <c r="I468" t="s">
        <v>1671</v>
      </c>
      <c r="J468" t="s">
        <v>1672</v>
      </c>
      <c r="K468" t="s">
        <v>1673</v>
      </c>
      <c r="L468" t="s">
        <v>660</v>
      </c>
      <c r="M468" t="s">
        <v>1161</v>
      </c>
      <c r="N468" t="s">
        <v>1162</v>
      </c>
      <c r="O468" t="s">
        <v>1488</v>
      </c>
      <c r="P468" t="s">
        <v>82</v>
      </c>
      <c r="Q468" t="s">
        <v>2045</v>
      </c>
      <c r="R468" t="s">
        <v>2046</v>
      </c>
      <c r="S468" t="s">
        <v>2047</v>
      </c>
      <c r="T468" s="15">
        <v>46811</v>
      </c>
      <c r="U468">
        <v>200</v>
      </c>
      <c r="V468">
        <v>3.5</v>
      </c>
      <c r="W468" t="s">
        <v>70</v>
      </c>
      <c r="X468" t="s">
        <v>71</v>
      </c>
      <c r="Y468">
        <v>1</v>
      </c>
      <c r="Z468">
        <v>0</v>
      </c>
      <c r="AA468">
        <v>0</v>
      </c>
    </row>
    <row r="469" spans="1:27" x14ac:dyDescent="0.3">
      <c r="A469" t="s">
        <v>2050</v>
      </c>
      <c r="B469" s="15">
        <v>45918</v>
      </c>
      <c r="C469" t="s">
        <v>54</v>
      </c>
      <c r="D469" t="s">
        <v>1956</v>
      </c>
      <c r="E469" t="s">
        <v>2051</v>
      </c>
      <c r="F469" t="s">
        <v>2052</v>
      </c>
      <c r="G469" t="s">
        <v>2053</v>
      </c>
      <c r="H469" t="s">
        <v>2054</v>
      </c>
      <c r="I469" t="s">
        <v>2055</v>
      </c>
      <c r="J469" t="s">
        <v>2056</v>
      </c>
      <c r="K469" t="s">
        <v>2057</v>
      </c>
      <c r="M469" t="s">
        <v>1958</v>
      </c>
      <c r="N469" t="s">
        <v>1959</v>
      </c>
      <c r="O469" t="s">
        <v>2058</v>
      </c>
      <c r="P469" t="s">
        <v>82</v>
      </c>
      <c r="Q469" t="s">
        <v>1203</v>
      </c>
      <c r="R469" t="s">
        <v>1204</v>
      </c>
      <c r="S469" t="s">
        <v>2059</v>
      </c>
      <c r="T469" s="15">
        <v>46505</v>
      </c>
      <c r="U469">
        <v>200</v>
      </c>
      <c r="V469">
        <v>28.65</v>
      </c>
      <c r="W469" t="s">
        <v>70</v>
      </c>
      <c r="X469" t="s">
        <v>71</v>
      </c>
      <c r="Y469">
        <v>1</v>
      </c>
      <c r="Z469">
        <v>0</v>
      </c>
      <c r="AA469">
        <v>0</v>
      </c>
    </row>
    <row r="470" spans="1:27" x14ac:dyDescent="0.3">
      <c r="A470" t="s">
        <v>2060</v>
      </c>
      <c r="B470" s="15">
        <v>45918</v>
      </c>
      <c r="C470" t="s">
        <v>503</v>
      </c>
      <c r="D470" t="s">
        <v>55</v>
      </c>
      <c r="E470" t="s">
        <v>626</v>
      </c>
      <c r="F470" t="s">
        <v>2061</v>
      </c>
      <c r="G470" t="s">
        <v>628</v>
      </c>
      <c r="H470" t="s">
        <v>1440</v>
      </c>
      <c r="I470" t="s">
        <v>167</v>
      </c>
      <c r="J470" t="s">
        <v>630</v>
      </c>
      <c r="K470" t="s">
        <v>631</v>
      </c>
      <c r="L470" t="s">
        <v>63</v>
      </c>
      <c r="M470" t="s">
        <v>1132</v>
      </c>
      <c r="N470" t="s">
        <v>1133</v>
      </c>
      <c r="O470" t="s">
        <v>2062</v>
      </c>
      <c r="P470" t="s">
        <v>167</v>
      </c>
      <c r="Q470" t="s">
        <v>604</v>
      </c>
      <c r="R470" t="s">
        <v>605</v>
      </c>
      <c r="S470" t="s">
        <v>2063</v>
      </c>
      <c r="T470" s="15">
        <v>46415</v>
      </c>
      <c r="U470">
        <v>200</v>
      </c>
      <c r="V470">
        <v>16.88</v>
      </c>
      <c r="W470" t="s">
        <v>70</v>
      </c>
      <c r="X470" t="s">
        <v>71</v>
      </c>
      <c r="Y470">
        <v>1</v>
      </c>
      <c r="Z470">
        <v>0</v>
      </c>
      <c r="AA470">
        <v>0</v>
      </c>
    </row>
    <row r="471" spans="1:27" x14ac:dyDescent="0.3">
      <c r="A471" t="s">
        <v>2064</v>
      </c>
      <c r="B471" s="15">
        <v>45918</v>
      </c>
      <c r="C471" t="s">
        <v>1165</v>
      </c>
      <c r="D471" t="s">
        <v>55</v>
      </c>
      <c r="E471" t="s">
        <v>626</v>
      </c>
      <c r="F471" t="s">
        <v>2061</v>
      </c>
      <c r="G471" t="s">
        <v>628</v>
      </c>
      <c r="H471" t="s">
        <v>1440</v>
      </c>
      <c r="I471" t="s">
        <v>167</v>
      </c>
      <c r="J471" t="s">
        <v>630</v>
      </c>
      <c r="K471" t="s">
        <v>631</v>
      </c>
      <c r="L471" t="s">
        <v>738</v>
      </c>
      <c r="M471" t="s">
        <v>1166</v>
      </c>
      <c r="N471" t="s">
        <v>1167</v>
      </c>
      <c r="O471" t="s">
        <v>2065</v>
      </c>
      <c r="P471" t="s">
        <v>167</v>
      </c>
      <c r="Q471" t="s">
        <v>604</v>
      </c>
      <c r="R471" t="s">
        <v>605</v>
      </c>
      <c r="S471" t="s">
        <v>2063</v>
      </c>
      <c r="T471" s="15">
        <v>46415</v>
      </c>
      <c r="U471">
        <v>200</v>
      </c>
      <c r="V471">
        <v>16.88</v>
      </c>
      <c r="W471" t="s">
        <v>70</v>
      </c>
      <c r="X471" t="s">
        <v>71</v>
      </c>
      <c r="Y471">
        <v>1</v>
      </c>
      <c r="Z471">
        <v>0</v>
      </c>
      <c r="AA471">
        <v>0</v>
      </c>
    </row>
    <row r="472" spans="1:27" x14ac:dyDescent="0.3">
      <c r="A472" t="s">
        <v>2066</v>
      </c>
      <c r="B472" s="15">
        <v>45918</v>
      </c>
      <c r="C472" t="s">
        <v>73</v>
      </c>
      <c r="D472" t="s">
        <v>55</v>
      </c>
      <c r="E472" t="s">
        <v>626</v>
      </c>
      <c r="F472" t="s">
        <v>2061</v>
      </c>
      <c r="G472" t="s">
        <v>628</v>
      </c>
      <c r="H472" t="s">
        <v>1440</v>
      </c>
      <c r="I472" t="s">
        <v>167</v>
      </c>
      <c r="J472" t="s">
        <v>630</v>
      </c>
      <c r="K472" t="s">
        <v>631</v>
      </c>
      <c r="L472" t="s">
        <v>660</v>
      </c>
      <c r="M472" t="s">
        <v>1137</v>
      </c>
      <c r="N472" t="s">
        <v>1138</v>
      </c>
      <c r="O472" t="s">
        <v>2067</v>
      </c>
      <c r="P472" t="s">
        <v>167</v>
      </c>
      <c r="Q472" t="s">
        <v>604</v>
      </c>
      <c r="R472" t="s">
        <v>605</v>
      </c>
      <c r="S472" t="s">
        <v>2063</v>
      </c>
      <c r="T472" s="15">
        <v>46415</v>
      </c>
      <c r="U472">
        <v>200</v>
      </c>
      <c r="V472">
        <v>16.88</v>
      </c>
      <c r="W472" t="s">
        <v>70</v>
      </c>
      <c r="X472" t="s">
        <v>71</v>
      </c>
      <c r="Y472">
        <v>1</v>
      </c>
      <c r="Z472">
        <v>0</v>
      </c>
      <c r="AA472">
        <v>0</v>
      </c>
    </row>
    <row r="473" spans="1:27" x14ac:dyDescent="0.3">
      <c r="A473" t="s">
        <v>2068</v>
      </c>
      <c r="B473" s="15">
        <v>45918</v>
      </c>
      <c r="C473" t="s">
        <v>497</v>
      </c>
      <c r="D473" t="s">
        <v>55</v>
      </c>
      <c r="E473" t="s">
        <v>626</v>
      </c>
      <c r="F473" t="s">
        <v>2061</v>
      </c>
      <c r="G473" t="s">
        <v>628</v>
      </c>
      <c r="H473" t="s">
        <v>1440</v>
      </c>
      <c r="I473" t="s">
        <v>167</v>
      </c>
      <c r="J473" t="s">
        <v>630</v>
      </c>
      <c r="K473" t="s">
        <v>631</v>
      </c>
      <c r="L473" t="s">
        <v>63</v>
      </c>
      <c r="M473" t="s">
        <v>1157</v>
      </c>
      <c r="N473" t="s">
        <v>1158</v>
      </c>
      <c r="O473" t="s">
        <v>2069</v>
      </c>
      <c r="P473" t="s">
        <v>167</v>
      </c>
      <c r="Q473" t="s">
        <v>604</v>
      </c>
      <c r="R473" t="s">
        <v>605</v>
      </c>
      <c r="S473" t="s">
        <v>2063</v>
      </c>
      <c r="T473" s="15">
        <v>46415</v>
      </c>
      <c r="U473">
        <v>200</v>
      </c>
      <c r="V473">
        <v>16.88</v>
      </c>
      <c r="W473" t="s">
        <v>70</v>
      </c>
      <c r="X473" t="s">
        <v>71</v>
      </c>
      <c r="Y473">
        <v>1</v>
      </c>
      <c r="Z473">
        <v>0</v>
      </c>
      <c r="AA473">
        <v>0</v>
      </c>
    </row>
    <row r="474" spans="1:27" x14ac:dyDescent="0.3">
      <c r="A474" t="s">
        <v>2070</v>
      </c>
      <c r="B474" s="15">
        <v>45918</v>
      </c>
      <c r="C474" t="s">
        <v>179</v>
      </c>
      <c r="D474" t="s">
        <v>55</v>
      </c>
      <c r="E474" t="s">
        <v>626</v>
      </c>
      <c r="F474" t="s">
        <v>2061</v>
      </c>
      <c r="G474" t="s">
        <v>628</v>
      </c>
      <c r="H474" t="s">
        <v>1440</v>
      </c>
      <c r="I474" t="s">
        <v>167</v>
      </c>
      <c r="J474" t="s">
        <v>630</v>
      </c>
      <c r="K474" t="s">
        <v>631</v>
      </c>
      <c r="L474" t="s">
        <v>63</v>
      </c>
      <c r="M474" t="s">
        <v>1153</v>
      </c>
      <c r="N474" t="s">
        <v>1154</v>
      </c>
      <c r="O474" t="s">
        <v>2071</v>
      </c>
      <c r="P474" t="s">
        <v>167</v>
      </c>
      <c r="Q474" t="s">
        <v>604</v>
      </c>
      <c r="R474" t="s">
        <v>605</v>
      </c>
      <c r="S474" t="s">
        <v>2063</v>
      </c>
      <c r="T474" s="15">
        <v>46415</v>
      </c>
      <c r="U474">
        <v>200</v>
      </c>
      <c r="V474">
        <v>16.88</v>
      </c>
      <c r="W474" t="s">
        <v>70</v>
      </c>
      <c r="X474" t="s">
        <v>71</v>
      </c>
      <c r="Y474">
        <v>1</v>
      </c>
      <c r="Z474">
        <v>0</v>
      </c>
      <c r="AA474">
        <v>0</v>
      </c>
    </row>
    <row r="475" spans="1:27" x14ac:dyDescent="0.3">
      <c r="A475" t="s">
        <v>2072</v>
      </c>
      <c r="B475" s="15">
        <v>45918</v>
      </c>
      <c r="C475" t="s">
        <v>179</v>
      </c>
      <c r="D475" t="s">
        <v>55</v>
      </c>
      <c r="E475" t="s">
        <v>626</v>
      </c>
      <c r="F475" t="s">
        <v>2061</v>
      </c>
      <c r="G475" t="s">
        <v>628</v>
      </c>
      <c r="H475" t="s">
        <v>1440</v>
      </c>
      <c r="I475" t="s">
        <v>167</v>
      </c>
      <c r="J475" t="s">
        <v>630</v>
      </c>
      <c r="K475" t="s">
        <v>631</v>
      </c>
      <c r="L475" t="s">
        <v>660</v>
      </c>
      <c r="M475" t="s">
        <v>1161</v>
      </c>
      <c r="N475" t="s">
        <v>1162</v>
      </c>
      <c r="O475" t="s">
        <v>2073</v>
      </c>
      <c r="P475" t="s">
        <v>167</v>
      </c>
      <c r="Q475" t="s">
        <v>604</v>
      </c>
      <c r="R475" t="s">
        <v>605</v>
      </c>
      <c r="S475" t="s">
        <v>2063</v>
      </c>
      <c r="T475" s="15">
        <v>46415</v>
      </c>
      <c r="U475">
        <v>200</v>
      </c>
      <c r="V475">
        <v>16.88</v>
      </c>
      <c r="W475" t="s">
        <v>70</v>
      </c>
      <c r="X475" t="s">
        <v>71</v>
      </c>
      <c r="Y475">
        <v>1</v>
      </c>
      <c r="Z475">
        <v>0</v>
      </c>
      <c r="AA475">
        <v>0</v>
      </c>
    </row>
    <row r="476" spans="1:27" x14ac:dyDescent="0.3">
      <c r="A476" t="s">
        <v>2074</v>
      </c>
      <c r="B476" s="15">
        <v>45918</v>
      </c>
      <c r="C476" t="s">
        <v>54</v>
      </c>
      <c r="D476" t="s">
        <v>55</v>
      </c>
      <c r="E476" t="s">
        <v>626</v>
      </c>
      <c r="F476" t="s">
        <v>2061</v>
      </c>
      <c r="G476" t="s">
        <v>628</v>
      </c>
      <c r="H476" t="s">
        <v>1440</v>
      </c>
      <c r="I476" t="s">
        <v>167</v>
      </c>
      <c r="J476" t="s">
        <v>630</v>
      </c>
      <c r="K476" t="s">
        <v>631</v>
      </c>
      <c r="L476" t="s">
        <v>63</v>
      </c>
      <c r="M476" t="s">
        <v>1145</v>
      </c>
      <c r="N476" t="s">
        <v>1146</v>
      </c>
      <c r="O476" t="s">
        <v>2075</v>
      </c>
      <c r="P476" t="s">
        <v>167</v>
      </c>
      <c r="Q476" t="s">
        <v>604</v>
      </c>
      <c r="R476" t="s">
        <v>605</v>
      </c>
      <c r="S476" t="s">
        <v>2063</v>
      </c>
      <c r="T476" s="15">
        <v>46415</v>
      </c>
      <c r="U476">
        <v>200</v>
      </c>
      <c r="V476">
        <v>16.88</v>
      </c>
      <c r="W476" t="s">
        <v>70</v>
      </c>
      <c r="X476" t="s">
        <v>71</v>
      </c>
      <c r="Y476">
        <v>1</v>
      </c>
      <c r="Z476">
        <v>0</v>
      </c>
      <c r="AA476">
        <v>0</v>
      </c>
    </row>
    <row r="477" spans="1:27" x14ac:dyDescent="0.3">
      <c r="A477" t="s">
        <v>2076</v>
      </c>
      <c r="B477" s="15">
        <v>45918</v>
      </c>
      <c r="C477" t="s">
        <v>93</v>
      </c>
      <c r="D477" t="s">
        <v>55</v>
      </c>
      <c r="E477" t="s">
        <v>626</v>
      </c>
      <c r="F477" t="s">
        <v>2061</v>
      </c>
      <c r="G477" t="s">
        <v>628</v>
      </c>
      <c r="H477" t="s">
        <v>1440</v>
      </c>
      <c r="I477" t="s">
        <v>167</v>
      </c>
      <c r="J477" t="s">
        <v>630</v>
      </c>
      <c r="K477" t="s">
        <v>631</v>
      </c>
      <c r="L477" t="s">
        <v>660</v>
      </c>
      <c r="M477" t="s">
        <v>1149</v>
      </c>
      <c r="N477" t="s">
        <v>1150</v>
      </c>
      <c r="O477" t="s">
        <v>2077</v>
      </c>
      <c r="P477" t="s">
        <v>167</v>
      </c>
      <c r="Q477" t="s">
        <v>604</v>
      </c>
      <c r="R477" t="s">
        <v>605</v>
      </c>
      <c r="S477" t="s">
        <v>2063</v>
      </c>
      <c r="T477" s="15">
        <v>46415</v>
      </c>
      <c r="U477">
        <v>200</v>
      </c>
      <c r="V477">
        <v>16.88</v>
      </c>
      <c r="W477" t="s">
        <v>70</v>
      </c>
      <c r="X477" t="s">
        <v>71</v>
      </c>
      <c r="Y477">
        <v>1</v>
      </c>
      <c r="Z477">
        <v>0</v>
      </c>
      <c r="AA477">
        <v>0</v>
      </c>
    </row>
    <row r="478" spans="1:27" x14ac:dyDescent="0.3">
      <c r="A478" t="s">
        <v>2078</v>
      </c>
      <c r="B478" s="15">
        <v>45918</v>
      </c>
      <c r="C478" t="s">
        <v>73</v>
      </c>
      <c r="D478" t="s">
        <v>55</v>
      </c>
      <c r="E478" t="s">
        <v>626</v>
      </c>
      <c r="F478" t="s">
        <v>2061</v>
      </c>
      <c r="G478" t="s">
        <v>628</v>
      </c>
      <c r="H478" t="s">
        <v>1440</v>
      </c>
      <c r="I478" t="s">
        <v>167</v>
      </c>
      <c r="J478" t="s">
        <v>630</v>
      </c>
      <c r="K478" t="s">
        <v>631</v>
      </c>
      <c r="L478" t="s">
        <v>63</v>
      </c>
      <c r="M478" t="s">
        <v>1141</v>
      </c>
      <c r="N478" t="s">
        <v>1142</v>
      </c>
      <c r="O478" t="s">
        <v>2079</v>
      </c>
      <c r="P478" t="s">
        <v>167</v>
      </c>
      <c r="Q478" t="s">
        <v>604</v>
      </c>
      <c r="R478" t="s">
        <v>605</v>
      </c>
      <c r="S478" t="s">
        <v>2063</v>
      </c>
      <c r="T478" s="15">
        <v>46415</v>
      </c>
      <c r="U478">
        <v>200</v>
      </c>
      <c r="V478">
        <v>16.88</v>
      </c>
      <c r="W478" t="s">
        <v>70</v>
      </c>
      <c r="X478" t="s">
        <v>71</v>
      </c>
      <c r="Y478">
        <v>1</v>
      </c>
      <c r="Z478">
        <v>0</v>
      </c>
      <c r="AA478">
        <v>0</v>
      </c>
    </row>
    <row r="479" spans="1:27" x14ac:dyDescent="0.3">
      <c r="A479" t="s">
        <v>2080</v>
      </c>
      <c r="B479" s="15">
        <v>45661</v>
      </c>
      <c r="C479" t="s">
        <v>272</v>
      </c>
      <c r="D479" t="s">
        <v>55</v>
      </c>
      <c r="F479" t="s">
        <v>2081</v>
      </c>
      <c r="G479" t="s">
        <v>2082</v>
      </c>
      <c r="H479" t="s">
        <v>2083</v>
      </c>
      <c r="I479" t="s">
        <v>2084</v>
      </c>
      <c r="K479" t="s">
        <v>2085</v>
      </c>
      <c r="L479" t="s">
        <v>186</v>
      </c>
      <c r="M479" t="s">
        <v>239</v>
      </c>
      <c r="N479" t="s">
        <v>240</v>
      </c>
      <c r="O479" t="s">
        <v>2086</v>
      </c>
      <c r="P479" t="s">
        <v>67</v>
      </c>
      <c r="Q479" t="s">
        <v>2087</v>
      </c>
      <c r="R479" t="s">
        <v>2088</v>
      </c>
      <c r="S479" t="s">
        <v>2089</v>
      </c>
      <c r="T479" s="15">
        <v>46201</v>
      </c>
      <c r="U479">
        <v>200</v>
      </c>
      <c r="V479">
        <v>60</v>
      </c>
      <c r="W479" t="s">
        <v>1510</v>
      </c>
      <c r="X479" t="s">
        <v>193</v>
      </c>
      <c r="Y479">
        <v>1</v>
      </c>
      <c r="Z479">
        <v>0</v>
      </c>
      <c r="AA479">
        <v>0</v>
      </c>
    </row>
    <row r="480" spans="1:27" x14ac:dyDescent="0.3">
      <c r="A480" t="s">
        <v>2090</v>
      </c>
      <c r="B480" s="15">
        <v>45918</v>
      </c>
      <c r="C480" t="s">
        <v>272</v>
      </c>
      <c r="D480" t="s">
        <v>55</v>
      </c>
      <c r="F480" t="s">
        <v>2091</v>
      </c>
      <c r="G480" t="s">
        <v>2092</v>
      </c>
      <c r="H480" t="s">
        <v>2093</v>
      </c>
      <c r="I480" t="s">
        <v>2094</v>
      </c>
      <c r="K480" t="s">
        <v>2095</v>
      </c>
      <c r="L480" t="s">
        <v>186</v>
      </c>
      <c r="M480" t="s">
        <v>713</v>
      </c>
      <c r="N480" t="s">
        <v>714</v>
      </c>
      <c r="O480" t="s">
        <v>2096</v>
      </c>
      <c r="P480" t="s">
        <v>82</v>
      </c>
      <c r="Q480" t="s">
        <v>2097</v>
      </c>
      <c r="R480" t="s">
        <v>2098</v>
      </c>
      <c r="S480" t="s">
        <v>2099</v>
      </c>
      <c r="T480" s="15">
        <v>46308</v>
      </c>
      <c r="U480">
        <v>200</v>
      </c>
      <c r="V480">
        <v>290</v>
      </c>
      <c r="W480" t="s">
        <v>1510</v>
      </c>
      <c r="X480" t="s">
        <v>71</v>
      </c>
      <c r="Y480">
        <v>1</v>
      </c>
      <c r="Z480">
        <v>1</v>
      </c>
      <c r="AA480">
        <v>0</v>
      </c>
    </row>
    <row r="481" spans="1:27" x14ac:dyDescent="0.3">
      <c r="A481" t="s">
        <v>767</v>
      </c>
      <c r="B481" s="15">
        <v>45842</v>
      </c>
      <c r="C481" t="s">
        <v>73</v>
      </c>
      <c r="D481" t="s">
        <v>55</v>
      </c>
      <c r="E481" t="s">
        <v>2100</v>
      </c>
      <c r="F481" t="s">
        <v>2101</v>
      </c>
      <c r="G481" t="s">
        <v>2102</v>
      </c>
      <c r="H481" t="s">
        <v>2103</v>
      </c>
      <c r="I481" t="s">
        <v>1200</v>
      </c>
      <c r="J481" t="s">
        <v>1201</v>
      </c>
      <c r="K481" t="s">
        <v>1202</v>
      </c>
      <c r="L481" t="s">
        <v>87</v>
      </c>
      <c r="M481" t="s">
        <v>768</v>
      </c>
      <c r="N481" t="s">
        <v>769</v>
      </c>
      <c r="O481" t="s">
        <v>770</v>
      </c>
      <c r="P481" t="s">
        <v>82</v>
      </c>
      <c r="Q481" t="s">
        <v>2104</v>
      </c>
      <c r="R481" t="s">
        <v>2105</v>
      </c>
      <c r="S481" t="s">
        <v>2106</v>
      </c>
      <c r="T481" s="15">
        <v>46231</v>
      </c>
      <c r="U481">
        <v>198</v>
      </c>
      <c r="V481">
        <v>14.9</v>
      </c>
      <c r="W481" t="s">
        <v>70</v>
      </c>
      <c r="X481" t="s">
        <v>107</v>
      </c>
      <c r="Y481">
        <v>1</v>
      </c>
      <c r="Z481">
        <v>0</v>
      </c>
      <c r="AA481">
        <v>0</v>
      </c>
    </row>
    <row r="482" spans="1:27" x14ac:dyDescent="0.3">
      <c r="A482" t="s">
        <v>2107</v>
      </c>
      <c r="B482" s="15">
        <v>45661</v>
      </c>
      <c r="C482" t="s">
        <v>54</v>
      </c>
      <c r="D482" t="s">
        <v>55</v>
      </c>
      <c r="E482" t="s">
        <v>2108</v>
      </c>
      <c r="F482" t="s">
        <v>2109</v>
      </c>
      <c r="G482" t="s">
        <v>2110</v>
      </c>
      <c r="H482" t="s">
        <v>2111</v>
      </c>
      <c r="I482" t="s">
        <v>2112</v>
      </c>
      <c r="J482" t="s">
        <v>1573</v>
      </c>
      <c r="K482" t="s">
        <v>1574</v>
      </c>
      <c r="L482" t="s">
        <v>186</v>
      </c>
      <c r="M482" t="s">
        <v>265</v>
      </c>
      <c r="N482" t="s">
        <v>266</v>
      </c>
      <c r="O482" t="s">
        <v>2113</v>
      </c>
      <c r="P482" t="s">
        <v>67</v>
      </c>
      <c r="Q482" t="s">
        <v>2104</v>
      </c>
      <c r="R482" t="s">
        <v>2105</v>
      </c>
      <c r="S482" t="s">
        <v>2114</v>
      </c>
      <c r="T482" s="15">
        <v>46231</v>
      </c>
      <c r="U482">
        <v>197</v>
      </c>
      <c r="V482">
        <v>15.03</v>
      </c>
      <c r="W482" t="s">
        <v>70</v>
      </c>
      <c r="X482" t="s">
        <v>193</v>
      </c>
      <c r="Y482">
        <v>1</v>
      </c>
      <c r="Z482">
        <v>0</v>
      </c>
      <c r="AA482">
        <v>0</v>
      </c>
    </row>
    <row r="483" spans="1:27" x14ac:dyDescent="0.3">
      <c r="A483" t="s">
        <v>238</v>
      </c>
      <c r="B483" s="15">
        <v>45931</v>
      </c>
      <c r="C483" t="s">
        <v>179</v>
      </c>
      <c r="D483" t="s">
        <v>55</v>
      </c>
      <c r="E483" t="s">
        <v>1081</v>
      </c>
      <c r="F483" t="s">
        <v>1082</v>
      </c>
      <c r="G483" t="s">
        <v>1083</v>
      </c>
      <c r="H483" t="s">
        <v>1084</v>
      </c>
      <c r="I483" t="s">
        <v>254</v>
      </c>
      <c r="J483" t="s">
        <v>139</v>
      </c>
      <c r="K483" t="s">
        <v>140</v>
      </c>
      <c r="L483" t="s">
        <v>186</v>
      </c>
      <c r="M483" t="s">
        <v>239</v>
      </c>
      <c r="N483" t="s">
        <v>240</v>
      </c>
      <c r="O483" t="s">
        <v>241</v>
      </c>
      <c r="P483" t="s">
        <v>82</v>
      </c>
      <c r="Q483" t="s">
        <v>450</v>
      </c>
      <c r="R483" t="s">
        <v>451</v>
      </c>
      <c r="S483" t="s">
        <v>1085</v>
      </c>
      <c r="T483" s="15">
        <v>46170</v>
      </c>
      <c r="U483">
        <v>196</v>
      </c>
      <c r="V483">
        <v>19.37</v>
      </c>
      <c r="W483" t="s">
        <v>70</v>
      </c>
      <c r="X483" t="s">
        <v>85</v>
      </c>
      <c r="Y483">
        <v>1</v>
      </c>
      <c r="Z483">
        <v>0</v>
      </c>
      <c r="AA483">
        <v>0</v>
      </c>
    </row>
    <row r="484" spans="1:27" x14ac:dyDescent="0.3">
      <c r="A484" t="s">
        <v>496</v>
      </c>
      <c r="B484" s="15">
        <v>45931</v>
      </c>
      <c r="C484" t="s">
        <v>497</v>
      </c>
      <c r="D484" t="s">
        <v>55</v>
      </c>
      <c r="E484" t="s">
        <v>539</v>
      </c>
      <c r="F484" t="s">
        <v>540</v>
      </c>
      <c r="G484" t="s">
        <v>541</v>
      </c>
      <c r="H484" t="s">
        <v>542</v>
      </c>
      <c r="I484" t="s">
        <v>543</v>
      </c>
      <c r="J484" t="s">
        <v>544</v>
      </c>
      <c r="K484" t="s">
        <v>545</v>
      </c>
      <c r="L484" t="s">
        <v>498</v>
      </c>
      <c r="M484" t="s">
        <v>499</v>
      </c>
      <c r="N484" t="s">
        <v>500</v>
      </c>
      <c r="O484" t="s">
        <v>501</v>
      </c>
      <c r="P484" t="s">
        <v>82</v>
      </c>
      <c r="Q484" t="s">
        <v>546</v>
      </c>
      <c r="R484" t="s">
        <v>547</v>
      </c>
      <c r="S484" t="s">
        <v>548</v>
      </c>
      <c r="T484" s="15">
        <v>47297</v>
      </c>
      <c r="U484">
        <v>194</v>
      </c>
      <c r="V484">
        <v>2.7</v>
      </c>
      <c r="W484" t="s">
        <v>70</v>
      </c>
      <c r="X484" t="s">
        <v>85</v>
      </c>
      <c r="Y484">
        <v>1</v>
      </c>
      <c r="Z484">
        <v>0</v>
      </c>
      <c r="AA484">
        <v>0</v>
      </c>
    </row>
    <row r="485" spans="1:27" x14ac:dyDescent="0.3">
      <c r="A485" t="s">
        <v>502</v>
      </c>
      <c r="B485" s="15">
        <v>45931</v>
      </c>
      <c r="C485" t="s">
        <v>503</v>
      </c>
      <c r="D485" t="s">
        <v>55</v>
      </c>
      <c r="E485" t="s">
        <v>539</v>
      </c>
      <c r="F485" t="s">
        <v>540</v>
      </c>
      <c r="G485" t="s">
        <v>541</v>
      </c>
      <c r="H485" t="s">
        <v>542</v>
      </c>
      <c r="I485" t="s">
        <v>543</v>
      </c>
      <c r="J485" t="s">
        <v>544</v>
      </c>
      <c r="K485" t="s">
        <v>545</v>
      </c>
      <c r="L485" t="s">
        <v>186</v>
      </c>
      <c r="M485" t="s">
        <v>504</v>
      </c>
      <c r="N485" t="s">
        <v>505</v>
      </c>
      <c r="O485" t="s">
        <v>506</v>
      </c>
      <c r="P485" t="s">
        <v>82</v>
      </c>
      <c r="Q485" t="s">
        <v>546</v>
      </c>
      <c r="R485" t="s">
        <v>547</v>
      </c>
      <c r="S485" t="s">
        <v>548</v>
      </c>
      <c r="T485" s="15">
        <v>47297</v>
      </c>
      <c r="U485">
        <v>194</v>
      </c>
      <c r="V485">
        <v>2.7</v>
      </c>
      <c r="W485" t="s">
        <v>70</v>
      </c>
      <c r="X485" t="s">
        <v>85</v>
      </c>
      <c r="Y485">
        <v>1</v>
      </c>
      <c r="Z485">
        <v>0</v>
      </c>
      <c r="AA485">
        <v>0</v>
      </c>
    </row>
    <row r="486" spans="1:27" x14ac:dyDescent="0.3">
      <c r="A486" t="s">
        <v>507</v>
      </c>
      <c r="B486" s="15">
        <v>45931</v>
      </c>
      <c r="C486" t="s">
        <v>497</v>
      </c>
      <c r="D486" t="s">
        <v>55</v>
      </c>
      <c r="E486" t="s">
        <v>539</v>
      </c>
      <c r="F486" t="s">
        <v>540</v>
      </c>
      <c r="G486" t="s">
        <v>541</v>
      </c>
      <c r="H486" t="s">
        <v>542</v>
      </c>
      <c r="I486" t="s">
        <v>543</v>
      </c>
      <c r="J486" t="s">
        <v>544</v>
      </c>
      <c r="K486" t="s">
        <v>545</v>
      </c>
      <c r="L486" t="s">
        <v>170</v>
      </c>
      <c r="M486" t="s">
        <v>508</v>
      </c>
      <c r="N486" t="s">
        <v>509</v>
      </c>
      <c r="O486" t="s">
        <v>510</v>
      </c>
      <c r="P486" t="s">
        <v>82</v>
      </c>
      <c r="Q486" t="s">
        <v>546</v>
      </c>
      <c r="R486" t="s">
        <v>547</v>
      </c>
      <c r="S486" t="s">
        <v>548</v>
      </c>
      <c r="T486" s="15">
        <v>47297</v>
      </c>
      <c r="U486">
        <v>194</v>
      </c>
      <c r="V486">
        <v>2.7</v>
      </c>
      <c r="W486" t="s">
        <v>70</v>
      </c>
      <c r="X486" t="s">
        <v>85</v>
      </c>
      <c r="Y486">
        <v>1</v>
      </c>
      <c r="Z486">
        <v>0</v>
      </c>
      <c r="AA486">
        <v>0</v>
      </c>
    </row>
    <row r="487" spans="1:27" x14ac:dyDescent="0.3">
      <c r="A487" t="s">
        <v>511</v>
      </c>
      <c r="B487" s="15">
        <v>45931</v>
      </c>
      <c r="C487" t="s">
        <v>73</v>
      </c>
      <c r="D487" t="s">
        <v>55</v>
      </c>
      <c r="E487" t="s">
        <v>539</v>
      </c>
      <c r="F487" t="s">
        <v>540</v>
      </c>
      <c r="G487" t="s">
        <v>541</v>
      </c>
      <c r="H487" t="s">
        <v>542</v>
      </c>
      <c r="I487" t="s">
        <v>543</v>
      </c>
      <c r="J487" t="s">
        <v>544</v>
      </c>
      <c r="K487" t="s">
        <v>545</v>
      </c>
      <c r="L487" t="s">
        <v>170</v>
      </c>
      <c r="M487" t="s">
        <v>512</v>
      </c>
      <c r="N487" t="s">
        <v>513</v>
      </c>
      <c r="O487" t="s">
        <v>514</v>
      </c>
      <c r="P487" t="s">
        <v>82</v>
      </c>
      <c r="Q487" t="s">
        <v>546</v>
      </c>
      <c r="R487" t="s">
        <v>547</v>
      </c>
      <c r="S487" t="s">
        <v>548</v>
      </c>
      <c r="T487" s="15">
        <v>47297</v>
      </c>
      <c r="U487">
        <v>194</v>
      </c>
      <c r="V487">
        <v>2.7</v>
      </c>
      <c r="W487" t="s">
        <v>70</v>
      </c>
      <c r="X487" t="s">
        <v>85</v>
      </c>
      <c r="Y487">
        <v>1</v>
      </c>
      <c r="Z487">
        <v>0</v>
      </c>
      <c r="AA487">
        <v>0</v>
      </c>
    </row>
    <row r="488" spans="1:27" x14ac:dyDescent="0.3">
      <c r="A488" t="s">
        <v>717</v>
      </c>
      <c r="B488" s="15">
        <v>45931</v>
      </c>
      <c r="C488" t="s">
        <v>272</v>
      </c>
      <c r="D488" t="s">
        <v>55</v>
      </c>
      <c r="E488" t="s">
        <v>539</v>
      </c>
      <c r="F488" t="s">
        <v>540</v>
      </c>
      <c r="G488" t="s">
        <v>541</v>
      </c>
      <c r="H488" t="s">
        <v>542</v>
      </c>
      <c r="I488" t="s">
        <v>543</v>
      </c>
      <c r="J488" t="s">
        <v>544</v>
      </c>
      <c r="K488" t="s">
        <v>545</v>
      </c>
      <c r="L488" t="s">
        <v>718</v>
      </c>
      <c r="M488" t="s">
        <v>719</v>
      </c>
      <c r="N488" t="s">
        <v>720</v>
      </c>
      <c r="O488" t="s">
        <v>721</v>
      </c>
      <c r="P488" t="s">
        <v>82</v>
      </c>
      <c r="Q488" t="s">
        <v>546</v>
      </c>
      <c r="R488" t="s">
        <v>547</v>
      </c>
      <c r="S488" t="s">
        <v>548</v>
      </c>
      <c r="T488" s="15">
        <v>47297</v>
      </c>
      <c r="U488">
        <v>194</v>
      </c>
      <c r="V488">
        <v>2.7</v>
      </c>
      <c r="W488" t="s">
        <v>70</v>
      </c>
      <c r="X488" t="s">
        <v>85</v>
      </c>
      <c r="Y488">
        <v>1</v>
      </c>
      <c r="Z488">
        <v>0</v>
      </c>
      <c r="AA488">
        <v>0</v>
      </c>
    </row>
    <row r="489" spans="1:27" x14ac:dyDescent="0.3">
      <c r="A489" t="s">
        <v>2115</v>
      </c>
      <c r="B489" s="15">
        <v>45752</v>
      </c>
      <c r="C489" t="s">
        <v>503</v>
      </c>
      <c r="D489" t="s">
        <v>55</v>
      </c>
      <c r="E489" t="s">
        <v>347</v>
      </c>
      <c r="F489" t="s">
        <v>1250</v>
      </c>
      <c r="G489" t="s">
        <v>349</v>
      </c>
      <c r="H489" t="s">
        <v>1220</v>
      </c>
      <c r="I489" t="s">
        <v>113</v>
      </c>
      <c r="J489" t="s">
        <v>114</v>
      </c>
      <c r="K489" t="s">
        <v>115</v>
      </c>
      <c r="L489" t="s">
        <v>87</v>
      </c>
      <c r="M489" t="s">
        <v>924</v>
      </c>
      <c r="N489" t="s">
        <v>925</v>
      </c>
      <c r="O489" t="s">
        <v>2116</v>
      </c>
      <c r="P489" t="s">
        <v>119</v>
      </c>
      <c r="Q489" t="s">
        <v>1056</v>
      </c>
      <c r="R489" t="s">
        <v>1057</v>
      </c>
      <c r="S489" t="s">
        <v>1252</v>
      </c>
      <c r="T489" s="15">
        <v>46293</v>
      </c>
      <c r="U489">
        <v>192</v>
      </c>
      <c r="V489">
        <v>13.79</v>
      </c>
      <c r="W489" t="s">
        <v>70</v>
      </c>
      <c r="X489" t="s">
        <v>123</v>
      </c>
      <c r="Y489">
        <v>1</v>
      </c>
      <c r="Z489">
        <v>0</v>
      </c>
      <c r="AA489">
        <v>0</v>
      </c>
    </row>
    <row r="490" spans="1:27" x14ac:dyDescent="0.3">
      <c r="A490" t="s">
        <v>880</v>
      </c>
      <c r="B490" s="15">
        <v>45661</v>
      </c>
      <c r="C490" t="s">
        <v>497</v>
      </c>
      <c r="D490" t="s">
        <v>55</v>
      </c>
      <c r="E490" t="s">
        <v>2117</v>
      </c>
      <c r="F490" t="s">
        <v>2118</v>
      </c>
      <c r="G490" t="s">
        <v>2119</v>
      </c>
      <c r="H490" t="s">
        <v>2120</v>
      </c>
      <c r="I490" t="s">
        <v>2121</v>
      </c>
      <c r="J490" t="s">
        <v>2122</v>
      </c>
      <c r="K490" t="s">
        <v>2123</v>
      </c>
      <c r="L490" t="s">
        <v>186</v>
      </c>
      <c r="M490" t="s">
        <v>653</v>
      </c>
      <c r="N490" t="s">
        <v>654</v>
      </c>
      <c r="O490" t="s">
        <v>888</v>
      </c>
      <c r="P490" t="s">
        <v>67</v>
      </c>
      <c r="Q490" t="s">
        <v>1203</v>
      </c>
      <c r="R490" t="s">
        <v>1204</v>
      </c>
      <c r="S490" t="s">
        <v>2124</v>
      </c>
      <c r="T490" s="15">
        <v>46140</v>
      </c>
      <c r="U490">
        <v>192</v>
      </c>
      <c r="V490">
        <v>29</v>
      </c>
      <c r="W490" t="s">
        <v>70</v>
      </c>
      <c r="X490" t="s">
        <v>193</v>
      </c>
      <c r="Y490">
        <v>1</v>
      </c>
      <c r="Z490">
        <v>0</v>
      </c>
      <c r="AA490">
        <v>0</v>
      </c>
    </row>
    <row r="491" spans="1:27" x14ac:dyDescent="0.3">
      <c r="A491" t="s">
        <v>668</v>
      </c>
      <c r="B491" s="15">
        <v>45661</v>
      </c>
      <c r="C491" t="s">
        <v>497</v>
      </c>
      <c r="D491" t="s">
        <v>55</v>
      </c>
      <c r="E491" t="s">
        <v>2125</v>
      </c>
      <c r="F491" t="s">
        <v>2126</v>
      </c>
      <c r="G491" t="s">
        <v>2127</v>
      </c>
      <c r="H491" t="s">
        <v>2128</v>
      </c>
      <c r="I491" t="s">
        <v>673</v>
      </c>
      <c r="J491" t="s">
        <v>527</v>
      </c>
      <c r="K491" t="s">
        <v>528</v>
      </c>
      <c r="L491" t="s">
        <v>186</v>
      </c>
      <c r="M491" t="s">
        <v>674</v>
      </c>
      <c r="N491" t="s">
        <v>675</v>
      </c>
      <c r="O491" t="s">
        <v>676</v>
      </c>
      <c r="P491" t="s">
        <v>67</v>
      </c>
      <c r="Q491" t="s">
        <v>2129</v>
      </c>
      <c r="R491" t="s">
        <v>2130</v>
      </c>
      <c r="S491" t="s">
        <v>2131</v>
      </c>
      <c r="T491" s="15">
        <v>47177</v>
      </c>
      <c r="U491">
        <v>192</v>
      </c>
      <c r="V491">
        <v>2</v>
      </c>
      <c r="W491" t="s">
        <v>70</v>
      </c>
      <c r="X491" t="s">
        <v>193</v>
      </c>
      <c r="Y491">
        <v>1</v>
      </c>
      <c r="Z491">
        <v>0</v>
      </c>
      <c r="AA491">
        <v>0</v>
      </c>
    </row>
    <row r="492" spans="1:27" x14ac:dyDescent="0.3">
      <c r="A492" t="s">
        <v>1283</v>
      </c>
      <c r="B492" s="15">
        <v>45661</v>
      </c>
      <c r="C492" t="s">
        <v>651</v>
      </c>
      <c r="D492" t="s">
        <v>55</v>
      </c>
      <c r="E492" t="s">
        <v>2125</v>
      </c>
      <c r="F492" t="s">
        <v>2126</v>
      </c>
      <c r="G492" t="s">
        <v>2127</v>
      </c>
      <c r="H492" t="s">
        <v>2128</v>
      </c>
      <c r="I492" t="s">
        <v>673</v>
      </c>
      <c r="J492" t="s">
        <v>527</v>
      </c>
      <c r="K492" t="s">
        <v>528</v>
      </c>
      <c r="L492" t="s">
        <v>186</v>
      </c>
      <c r="M492" t="s">
        <v>653</v>
      </c>
      <c r="N492" t="s">
        <v>654</v>
      </c>
      <c r="O492" t="s">
        <v>1284</v>
      </c>
      <c r="P492" t="s">
        <v>67</v>
      </c>
      <c r="Q492" t="s">
        <v>2129</v>
      </c>
      <c r="R492" t="s">
        <v>2130</v>
      </c>
      <c r="S492" t="s">
        <v>2131</v>
      </c>
      <c r="T492" s="15">
        <v>47177</v>
      </c>
      <c r="U492">
        <v>192</v>
      </c>
      <c r="V492">
        <v>2</v>
      </c>
      <c r="W492" t="s">
        <v>70</v>
      </c>
      <c r="X492" t="s">
        <v>193</v>
      </c>
      <c r="Y492">
        <v>1</v>
      </c>
      <c r="Z492">
        <v>0</v>
      </c>
      <c r="AA492">
        <v>0</v>
      </c>
    </row>
    <row r="493" spans="1:27" x14ac:dyDescent="0.3">
      <c r="A493" t="s">
        <v>880</v>
      </c>
      <c r="B493" s="15">
        <v>45661</v>
      </c>
      <c r="C493" t="s">
        <v>497</v>
      </c>
      <c r="D493" t="s">
        <v>55</v>
      </c>
      <c r="E493" t="s">
        <v>2132</v>
      </c>
      <c r="F493" t="s">
        <v>2133</v>
      </c>
      <c r="G493" t="s">
        <v>2134</v>
      </c>
      <c r="H493" t="s">
        <v>2135</v>
      </c>
      <c r="I493" t="s">
        <v>2136</v>
      </c>
      <c r="J493" t="s">
        <v>2036</v>
      </c>
      <c r="K493" t="s">
        <v>2037</v>
      </c>
      <c r="L493" t="s">
        <v>186</v>
      </c>
      <c r="M493" t="s">
        <v>653</v>
      </c>
      <c r="N493" t="s">
        <v>654</v>
      </c>
      <c r="O493" t="s">
        <v>888</v>
      </c>
      <c r="P493" t="s">
        <v>67</v>
      </c>
      <c r="Q493" t="s">
        <v>2137</v>
      </c>
      <c r="R493" t="s">
        <v>2138</v>
      </c>
      <c r="S493" t="s">
        <v>2139</v>
      </c>
      <c r="T493" s="15">
        <v>45775</v>
      </c>
      <c r="U493">
        <v>192</v>
      </c>
      <c r="V493">
        <v>5.05</v>
      </c>
      <c r="W493" t="s">
        <v>70</v>
      </c>
      <c r="X493" t="s">
        <v>193</v>
      </c>
      <c r="Y493">
        <v>1</v>
      </c>
      <c r="Z493">
        <v>0</v>
      </c>
      <c r="AA493">
        <v>0</v>
      </c>
    </row>
    <row r="494" spans="1:27" x14ac:dyDescent="0.3">
      <c r="A494" t="s">
        <v>1355</v>
      </c>
      <c r="B494" s="15">
        <v>45661</v>
      </c>
      <c r="C494" t="s">
        <v>73</v>
      </c>
      <c r="D494" t="s">
        <v>55</v>
      </c>
      <c r="E494" t="s">
        <v>322</v>
      </c>
      <c r="F494" t="s">
        <v>664</v>
      </c>
      <c r="G494" t="s">
        <v>324</v>
      </c>
      <c r="H494" t="s">
        <v>325</v>
      </c>
      <c r="I494" t="s">
        <v>167</v>
      </c>
      <c r="J494" t="s">
        <v>326</v>
      </c>
      <c r="K494" t="s">
        <v>327</v>
      </c>
      <c r="L494" t="s">
        <v>186</v>
      </c>
      <c r="M494" t="s">
        <v>1357</v>
      </c>
      <c r="N494" t="s">
        <v>1358</v>
      </c>
      <c r="O494" t="s">
        <v>1359</v>
      </c>
      <c r="P494" t="s">
        <v>167</v>
      </c>
      <c r="Q494" t="s">
        <v>665</v>
      </c>
      <c r="R494" t="s">
        <v>666</v>
      </c>
      <c r="S494" t="s">
        <v>667</v>
      </c>
      <c r="T494" s="15">
        <v>47266</v>
      </c>
      <c r="U494">
        <v>192</v>
      </c>
      <c r="V494">
        <v>2.15</v>
      </c>
      <c r="W494" t="s">
        <v>70</v>
      </c>
      <c r="X494" t="s">
        <v>193</v>
      </c>
      <c r="Y494">
        <v>1</v>
      </c>
      <c r="Z494">
        <v>0</v>
      </c>
      <c r="AA494">
        <v>0</v>
      </c>
    </row>
    <row r="495" spans="1:27" x14ac:dyDescent="0.3">
      <c r="A495" t="s">
        <v>1592</v>
      </c>
      <c r="B495" s="15">
        <v>45661</v>
      </c>
      <c r="C495" t="s">
        <v>54</v>
      </c>
      <c r="D495" t="s">
        <v>55</v>
      </c>
      <c r="E495" t="s">
        <v>1779</v>
      </c>
      <c r="F495" t="s">
        <v>2140</v>
      </c>
      <c r="G495" t="s">
        <v>1781</v>
      </c>
      <c r="H495" t="s">
        <v>2141</v>
      </c>
      <c r="I495" t="s">
        <v>167</v>
      </c>
      <c r="J495" t="s">
        <v>326</v>
      </c>
      <c r="K495" t="s">
        <v>327</v>
      </c>
      <c r="L495" t="s">
        <v>186</v>
      </c>
      <c r="M495" t="s">
        <v>265</v>
      </c>
      <c r="N495" t="s">
        <v>266</v>
      </c>
      <c r="O495" t="s">
        <v>1595</v>
      </c>
      <c r="P495" t="s">
        <v>167</v>
      </c>
      <c r="Q495" t="s">
        <v>2142</v>
      </c>
      <c r="R495" t="s">
        <v>2143</v>
      </c>
      <c r="S495" t="s">
        <v>2144</v>
      </c>
      <c r="T495" s="15">
        <v>46081</v>
      </c>
      <c r="U495">
        <v>192</v>
      </c>
      <c r="V495">
        <v>78.13</v>
      </c>
      <c r="W495" t="s">
        <v>70</v>
      </c>
      <c r="X495" t="s">
        <v>193</v>
      </c>
      <c r="Y495">
        <v>1</v>
      </c>
      <c r="Z495">
        <v>0</v>
      </c>
      <c r="AA495">
        <v>0</v>
      </c>
    </row>
    <row r="496" spans="1:27" x14ac:dyDescent="0.3">
      <c r="A496" t="s">
        <v>2145</v>
      </c>
      <c r="B496" s="15">
        <v>45661</v>
      </c>
      <c r="C496" t="s">
        <v>2146</v>
      </c>
      <c r="D496" t="s">
        <v>55</v>
      </c>
      <c r="E496" t="s">
        <v>550</v>
      </c>
      <c r="F496" t="s">
        <v>1593</v>
      </c>
      <c r="G496" t="s">
        <v>552</v>
      </c>
      <c r="H496" t="s">
        <v>1594</v>
      </c>
      <c r="I496" t="s">
        <v>167</v>
      </c>
      <c r="J496" t="s">
        <v>184</v>
      </c>
      <c r="K496" t="s">
        <v>185</v>
      </c>
      <c r="L496" t="s">
        <v>186</v>
      </c>
      <c r="M496" t="s">
        <v>2147</v>
      </c>
      <c r="N496" t="s">
        <v>2148</v>
      </c>
      <c r="O496" t="s">
        <v>2149</v>
      </c>
      <c r="P496" t="s">
        <v>167</v>
      </c>
      <c r="Q496" t="s">
        <v>1213</v>
      </c>
      <c r="R496" t="s">
        <v>1214</v>
      </c>
      <c r="S496" t="s">
        <v>1596</v>
      </c>
      <c r="T496" s="15">
        <v>45928</v>
      </c>
      <c r="U496">
        <v>192</v>
      </c>
      <c r="V496">
        <v>70</v>
      </c>
      <c r="W496" t="s">
        <v>70</v>
      </c>
      <c r="X496" t="s">
        <v>193</v>
      </c>
      <c r="Y496">
        <v>1</v>
      </c>
      <c r="Z496">
        <v>0</v>
      </c>
      <c r="AA496">
        <v>0</v>
      </c>
    </row>
    <row r="497" spans="1:27" x14ac:dyDescent="0.3">
      <c r="A497" t="s">
        <v>2150</v>
      </c>
      <c r="B497" s="15">
        <v>45661</v>
      </c>
      <c r="C497" t="s">
        <v>54</v>
      </c>
      <c r="D497" t="s">
        <v>55</v>
      </c>
      <c r="E497" t="s">
        <v>2151</v>
      </c>
      <c r="F497" t="s">
        <v>2152</v>
      </c>
      <c r="G497" t="s">
        <v>2153</v>
      </c>
      <c r="H497" t="s">
        <v>2154</v>
      </c>
      <c r="I497" t="s">
        <v>2155</v>
      </c>
      <c r="J497" t="s">
        <v>2156</v>
      </c>
      <c r="K497" t="s">
        <v>2157</v>
      </c>
      <c r="L497" t="s">
        <v>186</v>
      </c>
      <c r="M497" t="s">
        <v>2158</v>
      </c>
      <c r="N497" t="s">
        <v>2159</v>
      </c>
      <c r="O497" t="s">
        <v>2160</v>
      </c>
      <c r="P497" t="s">
        <v>67</v>
      </c>
      <c r="Q497" t="s">
        <v>2161</v>
      </c>
      <c r="R497" t="s">
        <v>2162</v>
      </c>
      <c r="S497" t="s">
        <v>2163</v>
      </c>
      <c r="T497" s="15">
        <v>47297</v>
      </c>
      <c r="U497">
        <v>192</v>
      </c>
      <c r="V497">
        <v>78.5</v>
      </c>
      <c r="W497" t="s">
        <v>70</v>
      </c>
      <c r="X497" t="s">
        <v>193</v>
      </c>
      <c r="Y497">
        <v>1</v>
      </c>
      <c r="Z497">
        <v>0</v>
      </c>
      <c r="AA497">
        <v>0</v>
      </c>
    </row>
    <row r="498" spans="1:27" x14ac:dyDescent="0.3">
      <c r="A498" t="s">
        <v>689</v>
      </c>
      <c r="B498" s="15">
        <v>45842</v>
      </c>
      <c r="C498" t="s">
        <v>54</v>
      </c>
      <c r="D498" t="s">
        <v>55</v>
      </c>
      <c r="E498" t="s">
        <v>2164</v>
      </c>
      <c r="F498" t="s">
        <v>2165</v>
      </c>
      <c r="G498" t="s">
        <v>2166</v>
      </c>
      <c r="H498" t="s">
        <v>2167</v>
      </c>
      <c r="I498" t="s">
        <v>2168</v>
      </c>
      <c r="J498" t="s">
        <v>2169</v>
      </c>
      <c r="K498" t="s">
        <v>2170</v>
      </c>
      <c r="L498" t="s">
        <v>186</v>
      </c>
      <c r="M498" t="s">
        <v>239</v>
      </c>
      <c r="N498" t="s">
        <v>240</v>
      </c>
      <c r="O498" t="s">
        <v>697</v>
      </c>
      <c r="P498" t="s">
        <v>82</v>
      </c>
      <c r="Q498" t="s">
        <v>2171</v>
      </c>
      <c r="R498" t="s">
        <v>2172</v>
      </c>
      <c r="S498" t="s">
        <v>2173</v>
      </c>
      <c r="T498" s="15">
        <v>46569</v>
      </c>
      <c r="U498">
        <v>191</v>
      </c>
      <c r="V498">
        <v>23.9</v>
      </c>
      <c r="W498" t="s">
        <v>70</v>
      </c>
      <c r="X498" t="s">
        <v>107</v>
      </c>
      <c r="Y498">
        <v>1</v>
      </c>
      <c r="Z498">
        <v>0</v>
      </c>
      <c r="AA498">
        <v>0</v>
      </c>
    </row>
    <row r="499" spans="1:27" x14ac:dyDescent="0.3">
      <c r="A499" t="s">
        <v>1206</v>
      </c>
      <c r="B499" s="15">
        <v>45842</v>
      </c>
      <c r="C499" t="s">
        <v>73</v>
      </c>
      <c r="D499" t="s">
        <v>55</v>
      </c>
      <c r="E499" t="s">
        <v>2174</v>
      </c>
      <c r="F499" t="s">
        <v>2175</v>
      </c>
      <c r="G499" t="s">
        <v>2176</v>
      </c>
      <c r="H499" t="s">
        <v>2177</v>
      </c>
      <c r="I499" t="s">
        <v>1943</v>
      </c>
      <c r="J499" t="s">
        <v>1944</v>
      </c>
      <c r="K499" t="s">
        <v>1945</v>
      </c>
      <c r="L499" t="s">
        <v>87</v>
      </c>
      <c r="M499" t="s">
        <v>768</v>
      </c>
      <c r="N499" t="s">
        <v>769</v>
      </c>
      <c r="O499" t="s">
        <v>1212</v>
      </c>
      <c r="P499" t="s">
        <v>67</v>
      </c>
      <c r="Q499" t="s">
        <v>2178</v>
      </c>
      <c r="R499" t="s">
        <v>2179</v>
      </c>
      <c r="S499" t="s">
        <v>2180</v>
      </c>
      <c r="T499" s="15">
        <v>46157</v>
      </c>
      <c r="U499">
        <v>190</v>
      </c>
      <c r="V499">
        <v>28</v>
      </c>
      <c r="W499" t="s">
        <v>70</v>
      </c>
      <c r="X499" t="s">
        <v>107</v>
      </c>
      <c r="Y499">
        <v>1</v>
      </c>
      <c r="Z499">
        <v>0</v>
      </c>
      <c r="AA499">
        <v>0</v>
      </c>
    </row>
    <row r="500" spans="1:27" x14ac:dyDescent="0.3">
      <c r="A500" t="s">
        <v>1265</v>
      </c>
      <c r="B500" s="15">
        <v>45815</v>
      </c>
      <c r="C500" t="s">
        <v>1165</v>
      </c>
      <c r="D500" t="s">
        <v>55</v>
      </c>
      <c r="E500" t="s">
        <v>1345</v>
      </c>
      <c r="F500" t="s">
        <v>2181</v>
      </c>
      <c r="G500" t="s">
        <v>1347</v>
      </c>
      <c r="H500" t="s">
        <v>2182</v>
      </c>
      <c r="I500" t="s">
        <v>113</v>
      </c>
      <c r="J500" t="s">
        <v>225</v>
      </c>
      <c r="K500" t="s">
        <v>226</v>
      </c>
      <c r="L500" t="s">
        <v>63</v>
      </c>
      <c r="M500" t="s">
        <v>801</v>
      </c>
      <c r="N500" t="s">
        <v>802</v>
      </c>
      <c r="O500" t="s">
        <v>1268</v>
      </c>
      <c r="P500" t="s">
        <v>119</v>
      </c>
      <c r="Q500" t="s">
        <v>198</v>
      </c>
      <c r="R500" t="s">
        <v>199</v>
      </c>
      <c r="S500" t="s">
        <v>2183</v>
      </c>
      <c r="T500" s="15">
        <v>46446</v>
      </c>
      <c r="U500">
        <v>190</v>
      </c>
      <c r="V500">
        <v>29.9</v>
      </c>
      <c r="W500" t="s">
        <v>70</v>
      </c>
      <c r="X500" t="s">
        <v>177</v>
      </c>
      <c r="Y500">
        <v>1</v>
      </c>
      <c r="Z500">
        <v>0</v>
      </c>
      <c r="AA500">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A2421-09DD-4532-92C9-84A18C381D2E}">
  <dimension ref="A1:B7"/>
  <sheetViews>
    <sheetView tabSelected="1" workbookViewId="0">
      <selection activeCell="B2" sqref="B2:B7"/>
    </sheetView>
  </sheetViews>
  <sheetFormatPr baseColWidth="10" defaultRowHeight="14.4" x14ac:dyDescent="0.3"/>
  <cols>
    <col min="1" max="1" width="12.5546875" bestFit="1" customWidth="1"/>
    <col min="2" max="2" width="14.33203125" bestFit="1" customWidth="1"/>
  </cols>
  <sheetData>
    <row r="1" spans="1:2" x14ac:dyDescent="0.3">
      <c r="A1" t="s">
        <v>2191</v>
      </c>
      <c r="B1" t="s">
        <v>2190</v>
      </c>
    </row>
    <row r="2" spans="1:2" x14ac:dyDescent="0.3">
      <c r="A2" s="4" t="s">
        <v>8</v>
      </c>
      <c r="B2" t="s">
        <v>2192</v>
      </c>
    </row>
    <row r="3" spans="1:2" x14ac:dyDescent="0.3">
      <c r="A3" s="6" t="s">
        <v>11</v>
      </c>
      <c r="B3" t="s">
        <v>2193</v>
      </c>
    </row>
    <row r="4" spans="1:2" ht="55.2" x14ac:dyDescent="0.3">
      <c r="A4" s="25" t="s">
        <v>2187</v>
      </c>
      <c r="B4" t="s">
        <v>2194</v>
      </c>
    </row>
    <row r="5" spans="1:2" x14ac:dyDescent="0.3">
      <c r="A5" s="6" t="s">
        <v>15</v>
      </c>
      <c r="B5" s="26" t="s">
        <v>2195</v>
      </c>
    </row>
    <row r="6" spans="1:2" x14ac:dyDescent="0.3">
      <c r="A6" s="4" t="s">
        <v>17</v>
      </c>
      <c r="B6" s="26" t="s">
        <v>2196</v>
      </c>
    </row>
    <row r="7" spans="1:2" x14ac:dyDescent="0.3">
      <c r="A7" s="6" t="s">
        <v>19</v>
      </c>
      <c r="B7" s="26" t="s">
        <v>2197</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Evaluación Práctica</vt:lpstr>
      <vt:lpstr>BaseDatos</vt:lpstr>
      <vt:lpstr>Criterios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2026-08-06T15:27:19Z</dcterms:created>
  <dcterms:modified xsi:type="dcterms:W3CDTF">2026-08-06T21:49:07Z</dcterms:modified>
</cp:coreProperties>
</file>